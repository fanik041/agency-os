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 &amp;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<sst xmlns="http://schemas.openxmlformats.org/spreadsheetml/2006/main" count="681" uniqueCount="400">
  <si>
    <t xml:space="preserve">#</t>
  </si>
  <si>
    <t xml:space="preserve">Company Name</t>
  </si>
  <si>
    <t xml:space="preserve">Niche</t>
  </si>
  <si>
    <t xml:space="preserve">Website</t>
  </si>
  <si>
    <t xml:space="preserve">Phone</t>
  </si>
  <si>
    <t xml:space="preserve">Email</t>
  </si>
  <si>
    <t xml:space="preserve">City</t>
  </si>
  <si>
    <t xml:space="preserve">Rating</t>
  </si>
  <si>
    <t xml:space="preserve">SEO (0-8)</t>
  </si>
  <si>
    <t xml:space="preserve">Lead Cap (0-7)</t>
  </si>
  <si>
    <t xml:space="preserve">Rev Opp (0-7)</t>
  </si>
  <si>
    <t xml:space="preserve">Total</t>
  </si>
  <si>
    <t xml:space="preserve">Rank</t>
  </si>
  <si>
    <t xml:space="preserve">Status</t>
  </si>
  <si>
    <t xml:space="preserve">Notes</t>
  </si>
  <si>
    <t xml:space="preserve">FU Date</t>
  </si>
  <si>
    <t xml:space="preserve">Called</t>
  </si>
  <si>
    <t xml:space="preserve">Precision Landscaping</t>
  </si>
  <si>
    <t xml:space="preserve">landscaping</t>
  </si>
  <si>
    <t xml:space="preserve">https://precisionlandscaping.ca/</t>
  </si>
  <si>
    <t xml:space="preserve">(416) 704-3637</t>
  </si>
  <si>
    <t xml:space="preserve">info@precisionlandscaping.ca</t>
  </si>
  <si>
    <t xml:space="preserve">Toronto ON</t>
  </si>
  <si>
    <t xml:space="preserve">scoring</t>
  </si>
  <si>
    <t xml:space="preserve">Analysis: load=963ms, mobile=true, ssl=true, seo_issues=1, cta=true, tech=Bootstrap,jQuery</t>
  </si>
  <si>
    <t xml:space="preserve">Sweet Tooth</t>
  </si>
  <si>
    <t xml:space="preserve">dessert</t>
  </si>
  <si>
    <t xml:space="preserve">(416) 703-2996</t>
  </si>
  <si>
    <t xml:space="preserve">new</t>
  </si>
  <si>
    <t xml:space="preserve">Easy Flow Hvac Toronto</t>
  </si>
  <si>
    <t xml:space="preserve">hvac</t>
  </si>
  <si>
    <t xml:space="preserve">http://easyflowhvac.ca/</t>
  </si>
  <si>
    <t xml:space="preserve">(647) 269-6672</t>
  </si>
  <si>
    <t xml:space="preserve">Toronto</t>
  </si>
  <si>
    <t xml:space="preserve">skip</t>
  </si>
  <si>
    <t xml:space="preserve">PAI</t>
  </si>
  <si>
    <t xml:space="preserve">restaurants</t>
  </si>
  <si>
    <t xml:space="preserve">http://www.paitoronto.com/</t>
  </si>
  <si>
    <t xml:space="preserve">(416) 901-4724</t>
  </si>
  <si>
    <t xml:space="preserve">downtown@paitoronto.com</t>
  </si>
  <si>
    <t xml:space="preserve">Toronto, ON</t>
  </si>
  <si>
    <t xml:space="preserve">Tint Queensway</t>
  </si>
  <si>
    <t xml:space="preserve">cat tinting service</t>
  </si>
  <si>
    <t xml:space="preserve">https://tintexpress.ca/</t>
  </si>
  <si>
    <t xml:space="preserve">+1 437-989-0776</t>
  </si>
  <si>
    <t xml:space="preserve">info@tintexpress.ca</t>
  </si>
  <si>
    <t xml:space="preserve">toronto</t>
  </si>
  <si>
    <t xml:space="preserve">Toronto Tint Studio</t>
  </si>
  <si>
    <t xml:space="preserve">http://www.torontotintstudio.com/</t>
  </si>
  <si>
    <t xml:space="preserve">+1 416-802-4472</t>
  </si>
  <si>
    <t xml:space="preserve">info@torontotintstudio.com</t>
  </si>
  <si>
    <t xml:space="preserve">Pickup Plumbing Contractors Ltd.</t>
  </si>
  <si>
    <t xml:space="preserve">plumber</t>
  </si>
  <si>
    <t xml:space="preserve">http://pickupplumbing.ca/</t>
  </si>
  <si>
    <t xml:space="preserve">(647) 669-7562</t>
  </si>
  <si>
    <t xml:space="preserve">info@pickupplumbing.ca</t>
  </si>
  <si>
    <t xml:space="preserve">Queens Harbour</t>
  </si>
  <si>
    <t xml:space="preserve">https://queensharbour.ca/</t>
  </si>
  <si>
    <t xml:space="preserve">(416) 572-4300</t>
  </si>
  <si>
    <t xml:space="preserve">info@queensharbour.ca</t>
  </si>
  <si>
    <t xml:space="preserve">Aeroseal</t>
  </si>
  <si>
    <t xml:space="preserve">http://www.aeroseal.org/</t>
  </si>
  <si>
    <t xml:space="preserve">(416) 668-8899</t>
  </si>
  <si>
    <t xml:space="preserve">info@aerosealtech.ca</t>
  </si>
  <si>
    <t xml:space="preserve">RISE Anxiety &amp; Depression Psychology Clinic Toronto</t>
  </si>
  <si>
    <t xml:space="preserve">psychiatrists</t>
  </si>
  <si>
    <t xml:space="preserve">https://riseclinic.ca/toronto/</t>
  </si>
  <si>
    <t xml:space="preserve">(514) 232-6445</t>
  </si>
  <si>
    <t xml:space="preserve">info@riseclinic.ca</t>
  </si>
  <si>
    <t xml:space="preserve">The C.R.E.W. Landscaping &amp; Property Management (Scarborough)</t>
  </si>
  <si>
    <t xml:space="preserve">https://thecrewlandscaping.ca/</t>
  </si>
  <si>
    <t xml:space="preserve">(647) 928-0104</t>
  </si>
  <si>
    <t xml:space="preserve">info@thecrewlandscaping.ca</t>
  </si>
  <si>
    <t xml:space="preserve">AB Autoshine window tinting</t>
  </si>
  <si>
    <t xml:space="preserve">https://abautotint.com/</t>
  </si>
  <si>
    <t xml:space="preserve">+1 647-904-7762</t>
  </si>
  <si>
    <t xml:space="preserve">abautoshine12@gmail.com</t>
  </si>
  <si>
    <t xml:space="preserve">SET Protective Films</t>
  </si>
  <si>
    <t xml:space="preserve">http://www.setprotectivefilms.ca/</t>
  </si>
  <si>
    <t xml:space="preserve">+1 416-997-2031</t>
  </si>
  <si>
    <t xml:space="preserve">ORUMA MULTI CUISINE BISTRO</t>
  </si>
  <si>
    <t xml:space="preserve">https://www.orumarestaurant.com/</t>
  </si>
  <si>
    <t xml:space="preserve">(416) 447-2120</t>
  </si>
  <si>
    <t xml:space="preserve">JOEY King St</t>
  </si>
  <si>
    <t xml:space="preserve">https://joeyrestaurants.com/location/joey-king-street</t>
  </si>
  <si>
    <t xml:space="preserve">(647) 678-5639</t>
  </si>
  <si>
    <t xml:space="preserve">accessibility@joeyrestaurants.com</t>
  </si>
  <si>
    <t xml:space="preserve">Auto-links Toronto Ltd</t>
  </si>
  <si>
    <t xml:space="preserve">http://www.auto-links.ca/</t>
  </si>
  <si>
    <t xml:space="preserve">+1 416-751-8883</t>
  </si>
  <si>
    <t xml:space="preserve">1997 Nail Bar Downtown Toronto</t>
  </si>
  <si>
    <t xml:space="preserve">nail salon</t>
  </si>
  <si>
    <t xml:space="preserve">https://1997nailbar.com/downtown-booking</t>
  </si>
  <si>
    <t xml:space="preserve">(416) 598-8956</t>
  </si>
  <si>
    <t xml:space="preserve">filler@godaddy.com</t>
  </si>
  <si>
    <t xml:space="preserve">City Home Comfort</t>
  </si>
  <si>
    <t xml:space="preserve">https://cityhomecomfort.ca/</t>
  </si>
  <si>
    <t xml:space="preserve">(416) 556-8368</t>
  </si>
  <si>
    <t xml:space="preserve">info@cityhomecomfort.com</t>
  </si>
  <si>
    <t xml:space="preserve">Tint &amp; PPF</t>
  </si>
  <si>
    <t xml:space="preserve">Dufferin Mall</t>
  </si>
  <si>
    <t xml:space="preserve">shopping malls</t>
  </si>
  <si>
    <t xml:space="preserve">http://www.dufferinmall.ca/</t>
  </si>
  <si>
    <t xml:space="preserve">(416) 532-1152</t>
  </si>
  <si>
    <t xml:space="preserve">Dr. Carmen Wiebe</t>
  </si>
  <si>
    <t xml:space="preserve">http://www.camh.ca/</t>
  </si>
  <si>
    <t xml:space="preserve">(416) 535-8501</t>
  </si>
  <si>
    <t xml:space="preserve">unsubscribe@camh.ca</t>
  </si>
  <si>
    <t xml:space="preserve">Austin Norris RMT, CSEP-CPT</t>
  </si>
  <si>
    <t xml:space="preserve">gyms</t>
  </si>
  <si>
    <t xml:space="preserve">http://www.primalmotion.com/</t>
  </si>
  <si>
    <t xml:space="preserve">(647) 990-8244</t>
  </si>
  <si>
    <t xml:space="preserve">austin@primalmotion.com</t>
  </si>
  <si>
    <t xml:space="preserve">Homeland - Garden &amp; Landscape Supplies - Outdoor Power Equipment Repair</t>
  </si>
  <si>
    <t xml:space="preserve">https://homelandmarket.ca/</t>
  </si>
  <si>
    <t xml:space="preserve">(416) 266-3915</t>
  </si>
  <si>
    <t xml:space="preserve">service@homelandmarket.ca</t>
  </si>
  <si>
    <t xml:space="preserve">Richmond Station</t>
  </si>
  <si>
    <t xml:space="preserve">http://richmondstation.ca/</t>
  </si>
  <si>
    <t xml:space="preserve">(647) 748-1444</t>
  </si>
  <si>
    <t xml:space="preserve">Brasa Peruvian Kitchen</t>
  </si>
  <si>
    <t xml:space="preserve">http://www.brasaperuvian.com/</t>
  </si>
  <si>
    <t xml:space="preserve">+1 844-492-7272</t>
  </si>
  <si>
    <t xml:space="preserve">//hola@brasaperuvian.com</t>
  </si>
  <si>
    <t xml:space="preserve">Mr. Fencee Inc.</t>
  </si>
  <si>
    <t xml:space="preserve">https://mrfencee.com/</t>
  </si>
  <si>
    <t xml:space="preserve">(416) 360-1335</t>
  </si>
  <si>
    <t xml:space="preserve">info@mrfencee.com</t>
  </si>
  <si>
    <t xml:space="preserve">CF Fairview Mall</t>
  </si>
  <si>
    <t xml:space="preserve">https://shops.cadillacfairview.com/property/cf-fairview-mall</t>
  </si>
  <si>
    <t xml:space="preserve">(416) 491-0151</t>
  </si>
  <si>
    <t xml:space="preserve">Mind Toronto Psychology Clinic</t>
  </si>
  <si>
    <t xml:space="preserve">https://mindtorontopsychology.ca/</t>
  </si>
  <si>
    <t xml:space="preserve">(437) 525-3616</t>
  </si>
  <si>
    <t xml:space="preserve">info@mindtpc.hush.com</t>
  </si>
  <si>
    <t xml:space="preserve">VIECLINIC Brain Intervention rTMS PBM tDCS</t>
  </si>
  <si>
    <t xml:space="preserve">https://www.vieclinic.com/</t>
  </si>
  <si>
    <t xml:space="preserve">(416) 637-3030</t>
  </si>
  <si>
    <t xml:space="preserve">contact@vieclinic.com</t>
  </si>
  <si>
    <t xml:space="preserve">Dynamic Health Clinic</t>
  </si>
  <si>
    <t xml:space="preserve">http://www.dynamichealthclinic.ca/</t>
  </si>
  <si>
    <t xml:space="preserve">(647) 347-5000</t>
  </si>
  <si>
    <t xml:space="preserve">admin@dynamichealthclinic.ca</t>
  </si>
  <si>
    <t xml:space="preserve">Lonzos Kitchen</t>
  </si>
  <si>
    <t xml:space="preserve">http://www.lonzoskitchen.com/</t>
  </si>
  <si>
    <t xml:space="preserve">(416) 462-2727</t>
  </si>
  <si>
    <t xml:space="preserve">marketing@lonzoskitchen.com</t>
  </si>
  <si>
    <t xml:space="preserve">Golfdale Walk In Clinic</t>
  </si>
  <si>
    <t xml:space="preserve">clinics</t>
  </si>
  <si>
    <t xml:space="preserve">https://golfdalemedical.ca/</t>
  </si>
  <si>
    <t xml:space="preserve">+1 416-438-1664</t>
  </si>
  <si>
    <t xml:space="preserve">info@golfdalemedical.ca</t>
  </si>
  <si>
    <t xml:space="preserve">Scarborough, ON</t>
  </si>
  <si>
    <t xml:space="preserve">Toronto Psych-Ed &amp; ADHD Clinic</t>
  </si>
  <si>
    <t xml:space="preserve">https://www.psychoedclinic.com/</t>
  </si>
  <si>
    <t xml:space="preserve">(437) 886-6311</t>
  </si>
  <si>
    <t xml:space="preserve">intake@psychoedclinic.com</t>
  </si>
  <si>
    <t xml:space="preserve">Cresent Town Fitness Center</t>
  </si>
  <si>
    <t xml:space="preserve">http://www.crescenttownclub.com/</t>
  </si>
  <si>
    <t xml:space="preserve">(416) 699-9631</t>
  </si>
  <si>
    <t xml:space="preserve">info@crescenttownclub.com</t>
  </si>
  <si>
    <t xml:space="preserve">North Quality HVAC</t>
  </si>
  <si>
    <t xml:space="preserve">http://northqualityhvac.ca/</t>
  </si>
  <si>
    <t xml:space="preserve">(437) 991-1204</t>
  </si>
  <si>
    <t xml:space="preserve">Toronto Premium Outlets</t>
  </si>
  <si>
    <t xml:space="preserve">https://www.premiumoutlets.com/outlet/toronto</t>
  </si>
  <si>
    <t xml:space="preserve">(647) 497-8270</t>
  </si>
  <si>
    <t xml:space="preserve">Frechette Lawncare</t>
  </si>
  <si>
    <t xml:space="preserve">http://frechettelawncare.com/</t>
  </si>
  <si>
    <t xml:space="preserve">(416) 261-7848</t>
  </si>
  <si>
    <t xml:space="preserve">info@frechettelawncare.com</t>
  </si>
  <si>
    <t xml:space="preserve">Yorkdale Shopping Centre</t>
  </si>
  <si>
    <t xml:space="preserve">http://www.yorkdale.com/</t>
  </si>
  <si>
    <t xml:space="preserve">(416) 789-3261</t>
  </si>
  <si>
    <t xml:space="preserve">privacy@oxfordproperties.com</t>
  </si>
  <si>
    <t xml:space="preserve">Luke's Landscaping</t>
  </si>
  <si>
    <t xml:space="preserve">https://www.lukeslandscaping.ca/?utm_source=gbp&amp;utm_medium=organic&amp;utm_campaign=scarborough&amp;utm_term=gbp-listing</t>
  </si>
  <si>
    <t xml:space="preserve">(647) 952-1760</t>
  </si>
  <si>
    <t xml:space="preserve">luke@lukeslandscaping.ca</t>
  </si>
  <si>
    <t xml:space="preserve">Ellesmere Health Group</t>
  </si>
  <si>
    <t xml:space="preserve">https://ellesmerefamilyhealth.com/</t>
  </si>
  <si>
    <t xml:space="preserve">+1 416-690-3450</t>
  </si>
  <si>
    <t xml:space="preserve">info@ellesmerefamilyhealth.com</t>
  </si>
  <si>
    <t xml:space="preserve">The Bombay</t>
  </si>
  <si>
    <t xml:space="preserve">https://the-bombay-restaurant.com/?</t>
  </si>
  <si>
    <t xml:space="preserve">(416) 519-2550</t>
  </si>
  <si>
    <t xml:space="preserve">example@mail.com</t>
  </si>
  <si>
    <t xml:space="preserve">Ray &amp; M Landscaping &amp; Snowplowing</t>
  </si>
  <si>
    <t xml:space="preserve">http://www.raym1993.com/</t>
  </si>
  <si>
    <t xml:space="preserve">(416) 451-1533</t>
  </si>
  <si>
    <t xml:space="preserve">GoodLife Fitness Markham Birchmount and Enterprise</t>
  </si>
  <si>
    <t xml:space="preserve">https://www.goodlifefitness.com/clubs/club.291.html?utm_source=G&amp;utm_medium=LPM&amp;utm_campaign=GoodlifeFitness</t>
  </si>
  <si>
    <t xml:space="preserve">(905) 475-2110</t>
  </si>
  <si>
    <t xml:space="preserve">markhambirchmount@goodlifefitness.com</t>
  </si>
  <si>
    <t xml:space="preserve">Markham, ON</t>
  </si>
  <si>
    <t xml:space="preserve">D Spot Desserts Scarborough Kingston Road Cliffside</t>
  </si>
  <si>
    <t xml:space="preserve">http://www.dspotdessert.com/</t>
  </si>
  <si>
    <t xml:space="preserve">(416) 265-1000</t>
  </si>
  <si>
    <t xml:space="preserve">info@dspotdessert.com</t>
  </si>
  <si>
    <t xml:space="preserve">Thompson Medical Clinic</t>
  </si>
  <si>
    <t xml:space="preserve">https://thompsonclinic.ca/</t>
  </si>
  <si>
    <t xml:space="preserve">+1 416-503-7703</t>
  </si>
  <si>
    <t xml:space="preserve">thompsonmedclinic@gmail.com</t>
  </si>
  <si>
    <t xml:space="preserve">Lucie</t>
  </si>
  <si>
    <t xml:space="preserve">http://www.restaurantlucie.com/</t>
  </si>
  <si>
    <t xml:space="preserve">(416) 788-9054</t>
  </si>
  <si>
    <t xml:space="preserve">info@restaurantlucie.com</t>
  </si>
  <si>
    <t xml:space="preserve">Restorative Landscapes Inc.</t>
  </si>
  <si>
    <t xml:space="preserve">http://www.restorativelandscapes.com/</t>
  </si>
  <si>
    <t xml:space="preserve">(647) 335-4324</t>
  </si>
  <si>
    <t xml:space="preserve">G Unit</t>
  </si>
  <si>
    <t xml:space="preserve">http://gunittoronto.ca/</t>
  </si>
  <si>
    <t xml:space="preserve">+1 416-450-3232</t>
  </si>
  <si>
    <t xml:space="preserve">Blue Elephant Cuisine</t>
  </si>
  <si>
    <t xml:space="preserve">https://blueelephantcuisine.com/?utm_source=google&amp;utm_medium=maps&amp;utm_campaign=website</t>
  </si>
  <si>
    <t xml:space="preserve">(416) 267-6563</t>
  </si>
  <si>
    <t xml:space="preserve">Yuugi Izakaya</t>
  </si>
  <si>
    <t xml:space="preserve">http://www.yuugiizakaya.com/</t>
  </si>
  <si>
    <t xml:space="preserve">(647) 343-8282</t>
  </si>
  <si>
    <t xml:space="preserve">yuugi.izakaya@gmail.com</t>
  </si>
  <si>
    <t xml:space="preserve">City Air Toronto</t>
  </si>
  <si>
    <t xml:space="preserve">https://cityairtoronto.com/</t>
  </si>
  <si>
    <t xml:space="preserve">(416) 230-3689</t>
  </si>
  <si>
    <t xml:space="preserve">%20info@cityairtoronto.com</t>
  </si>
  <si>
    <t xml:space="preserve">Greenhouse Landscaping</t>
  </si>
  <si>
    <t xml:space="preserve">http://www.greenhouselandscaping.ca/</t>
  </si>
  <si>
    <t xml:space="preserve">(416) 264-8286</t>
  </si>
  <si>
    <t xml:space="preserve">greenhouselandservices@gmail.com</t>
  </si>
  <si>
    <t xml:space="preserve">Equinox Bay Street</t>
  </si>
  <si>
    <t xml:space="preserve">https://www.equinox.com/clubs/toronto/bayst?cid=gmb</t>
  </si>
  <si>
    <t xml:space="preserve">(647) 497-5158</t>
  </si>
  <si>
    <t xml:space="preserve">mike.easton@equinox.com</t>
  </si>
  <si>
    <t xml:space="preserve">Leuschner's Lawn and Landscape</t>
  </si>
  <si>
    <t xml:space="preserve">https://www.leuschners.com/</t>
  </si>
  <si>
    <t xml:space="preserve">(905) 709-2221</t>
  </si>
  <si>
    <t xml:space="preserve">TRINITY PLUMBING</t>
  </si>
  <si>
    <t xml:space="preserve">https://trinityplumbinganddrainingservices.com/</t>
  </si>
  <si>
    <t xml:space="preserve">(416) 893-6444</t>
  </si>
  <si>
    <t xml:space="preserve">Earls Kitchen + Bar</t>
  </si>
  <si>
    <t xml:space="preserve">https://earls.ca/locations/financial--district/</t>
  </si>
  <si>
    <t xml:space="preserve">(416) 916-0227</t>
  </si>
  <si>
    <t xml:space="preserve">media@earls.ca</t>
  </si>
  <si>
    <t xml:space="preserve">Canoe</t>
  </si>
  <si>
    <t xml:space="preserve">http://www.canoerestaurant.com/</t>
  </si>
  <si>
    <t xml:space="preserve">(416) 364-0054</t>
  </si>
  <si>
    <t xml:space="preserve">donations@oliverbonacini.com</t>
  </si>
  <si>
    <t xml:space="preserve">Loft Nail Studio</t>
  </si>
  <si>
    <t xml:space="preserve">http://www.loftnailstudio.com/</t>
  </si>
  <si>
    <t xml:space="preserve">(416) 597-8686</t>
  </si>
  <si>
    <t xml:space="preserve">contact@loftnailstudio.com</t>
  </si>
  <si>
    <t xml:space="preserve">Nu Nail Beauty Spa</t>
  </si>
  <si>
    <t xml:space="preserve">(647) 671-7989</t>
  </si>
  <si>
    <t xml:space="preserve">Planet Fitness</t>
  </si>
  <si>
    <t xml:space="preserve">https://www.planetfitness.ca/gyms/toronto-gerrard-square?utm_medium=organic&amp;utm_source=extnet</t>
  </si>
  <si>
    <t xml:space="preserve">(437) 889-3200</t>
  </si>
  <si>
    <t xml:space="preserve">Auberge du Pommier</t>
  </si>
  <si>
    <t xml:space="preserve">http://www.aubergedupommier.com/</t>
  </si>
  <si>
    <t xml:space="preserve">(416) 222-2220</t>
  </si>
  <si>
    <t xml:space="preserve">Venice Fitness</t>
  </si>
  <si>
    <t xml:space="preserve">(416) 752-8364</t>
  </si>
  <si>
    <t xml:space="preserve">Unity</t>
  </si>
  <si>
    <t xml:space="preserve">https://www.unity-toronto.com/</t>
  </si>
  <si>
    <t xml:space="preserve">(647) 724-2316</t>
  </si>
  <si>
    <t xml:space="preserve">info@unity-toronto.com</t>
  </si>
  <si>
    <t xml:space="preserve">Lyla Toronto</t>
  </si>
  <si>
    <t xml:space="preserve">https://lylatoronto.com/</t>
  </si>
  <si>
    <t xml:space="preserve">(647) 948-7997</t>
  </si>
  <si>
    <t xml:space="preserve">events@lylatoronto.com</t>
  </si>
  <si>
    <t xml:space="preserve">Elite Culture Health and Fitness Centre</t>
  </si>
  <si>
    <t xml:space="preserve">http://eliteculture.ca/</t>
  </si>
  <si>
    <t xml:space="preserve">Osteria Giulia</t>
  </si>
  <si>
    <t xml:space="preserve">http://osteriagiulia.ca/</t>
  </si>
  <si>
    <t xml:space="preserve">(416) 964-8686</t>
  </si>
  <si>
    <t xml:space="preserve">info@osteriagiulia.ca</t>
  </si>
  <si>
    <t xml:space="preserve">Seoul Gamjatang - Korean Restaurant Toronto | Pork Bone Soup</t>
  </si>
  <si>
    <t xml:space="preserve">http://seoulgamjatang.com/?utm_source=Google&amp;utm_medium=organic&amp;utm_campaign=GBP</t>
  </si>
  <si>
    <t xml:space="preserve">(647) 325-0476</t>
  </si>
  <si>
    <t xml:space="preserve">Seoulgamjatang1@gmail.com</t>
  </si>
  <si>
    <t xml:space="preserve">LA Fitness</t>
  </si>
  <si>
    <t xml:space="preserve">https://www.lafitness.com/Pages/clubhome.aspx?clubid=663&amp;utm_source=google&amp;utm_medium=googlemaps&amp;utm_campaign=maps</t>
  </si>
  <si>
    <t xml:space="preserve">(647) 724-4019</t>
  </si>
  <si>
    <t xml:space="preserve">Thornhill Chinese Medicine Clinic</t>
  </si>
  <si>
    <t xml:space="preserve">http://thornhilltcm.com/?utm_source=googlemybusiness&amp;utm_medium=organic&amp;utm_campaign=Google%20My%20Business</t>
  </si>
  <si>
    <t xml:space="preserve">(647) 539-3828</t>
  </si>
  <si>
    <t xml:space="preserve">Lilyzhang.tcmp@gmail.com</t>
  </si>
  <si>
    <t xml:space="preserve">Vive Fitness 24/7 Gerrard Toronto</t>
  </si>
  <si>
    <t xml:space="preserve">http://vivefitness.com/1391-gerrard-st-toronto/</t>
  </si>
  <si>
    <t xml:space="preserve">(647) 748-8483</t>
  </si>
  <si>
    <t xml:space="preserve">gerrard@vivefitness.com</t>
  </si>
  <si>
    <t xml:space="preserve">Five Lions Heating &amp; Cooling Inc.</t>
  </si>
  <si>
    <t xml:space="preserve">http://www.fivelionshvac.com/</t>
  </si>
  <si>
    <t xml:space="preserve">(416) 797-0898</t>
  </si>
  <si>
    <t xml:space="preserve">info@fivelionshvac.com</t>
  </si>
  <si>
    <t xml:space="preserve">GEORGE Restaurant</t>
  </si>
  <si>
    <t xml:space="preserve">http://www.georgeonqueen.com/</t>
  </si>
  <si>
    <t xml:space="preserve">(416) 863-6006</t>
  </si>
  <si>
    <t xml:space="preserve">info@georgeonqueen.com</t>
  </si>
  <si>
    <t xml:space="preserve">CF Toronto Eaton Centre</t>
  </si>
  <si>
    <t xml:space="preserve">https://shops.cadillacfairview.com/property/cf-toronto-eaton-centre</t>
  </si>
  <si>
    <t xml:space="preserve">(416) 598-8560</t>
  </si>
  <si>
    <t xml:space="preserve">Analysis: load=422ms, mobile=true, ssl=true, seo_issues=2, cta=true, tech=Next.js</t>
  </si>
  <si>
    <t xml:space="preserve">Maple Walk-in Clinic and Family Practice</t>
  </si>
  <si>
    <t xml:space="preserve">http://mapleclinic.info/</t>
  </si>
  <si>
    <t xml:space="preserve">+1 647-697-1000</t>
  </si>
  <si>
    <t xml:space="preserve">Dawson Dental - Scarborough</t>
  </si>
  <si>
    <t xml:space="preserve">dentists</t>
  </si>
  <si>
    <t xml:space="preserve">https://www.dawsondental.ca/site/scarborough-dentist?utm_source=G&amp;utm_medium=LPM&amp;utm_campaign=DentalCorp</t>
  </si>
  <si>
    <t xml:space="preserve">+1 416-494-8555</t>
  </si>
  <si>
    <t xml:space="preserve">Studio Dental</t>
  </si>
  <si>
    <t xml:space="preserve">http://www.studiodentalcentres.ca/</t>
  </si>
  <si>
    <t xml:space="preserve">+1 416-800-1560</t>
  </si>
  <si>
    <t xml:space="preserve">Fit Factory Downtown</t>
  </si>
  <si>
    <t xml:space="preserve">https://fitfactoryfitness.com/pricing/downtown/</t>
  </si>
  <si>
    <t xml:space="preserve">(416) 900-0362</t>
  </si>
  <si>
    <t xml:space="preserve">getfit@fitfactoryfitness.com</t>
  </si>
  <si>
    <t xml:space="preserve">A Woman's Touch Landscaping</t>
  </si>
  <si>
    <t xml:space="preserve">https://awtl.ca/</t>
  </si>
  <si>
    <t xml:space="preserve">(416) 427-3367</t>
  </si>
  <si>
    <t xml:space="preserve">Fit4Less</t>
  </si>
  <si>
    <t xml:space="preserve">https://www.fit4less.ca/locations/provinces/ontario/scarborough/scarborough-golden-mile?utm_source=G&amp;utm_medium=lpm&amp;utm_campaign=fit4less</t>
  </si>
  <si>
    <t xml:space="preserve">(416) 750-9120</t>
  </si>
  <si>
    <t xml:space="preserve">example@email.com</t>
  </si>
  <si>
    <t xml:space="preserve">Analysis: load=648ms, mobile=true, ssl=true, seo_issues=1, cta=false, tech=Bootstrap,jQuery</t>
  </si>
  <si>
    <t xml:space="preserve">Sweat and Tonic</t>
  </si>
  <si>
    <t xml:space="preserve">https://www.sweatandtonic.com/</t>
  </si>
  <si>
    <t xml:space="preserve">(647) 372-0225</t>
  </si>
  <si>
    <t xml:space="preserve">hello@sweatandtonic.com</t>
  </si>
  <si>
    <t xml:space="preserve">Helena's Magic Kitchen</t>
  </si>
  <si>
    <t xml:space="preserve">(647) 348-2348</t>
  </si>
  <si>
    <t xml:space="preserve">Gusto 101</t>
  </si>
  <si>
    <t xml:space="preserve">http://gusto101.com/</t>
  </si>
  <si>
    <t xml:space="preserve">(416) 504-9669</t>
  </si>
  <si>
    <t xml:space="preserve">Greystone Medical Centre</t>
  </si>
  <si>
    <t xml:space="preserve">http://www.greystonemedicalcentre.ca/</t>
  </si>
  <si>
    <t xml:space="preserve">(416) 266-5888</t>
  </si>
  <si>
    <t xml:space="preserve">info@greystonemedicalcentre.ca</t>
  </si>
  <si>
    <t xml:space="preserve">Box Design</t>
  </si>
  <si>
    <t xml:space="preserve">http://boxdesign.ca/</t>
  </si>
  <si>
    <t xml:space="preserve">(416) 795-3779</t>
  </si>
  <si>
    <t xml:space="preserve">info@boxdesign.ca</t>
  </si>
  <si>
    <t xml:space="preserve">GTA Window Tinting Services</t>
  </si>
  <si>
    <t xml:space="preserve">+1 647-995-8468</t>
  </si>
  <si>
    <t xml:space="preserve">ScarboroSmiles</t>
  </si>
  <si>
    <t xml:space="preserve">https://www.scarborosmiles.ca/?utm_source=google&amp;utm_medium=organic&amp;utm_campaign=gmb</t>
  </si>
  <si>
    <t xml:space="preserve">+1 416-519-6825</t>
  </si>
  <si>
    <t xml:space="preserve">info@scarborosmiles.ca</t>
  </si>
  <si>
    <t xml:space="preserve">Felix Yaroshevsky M.D. F.R.C.P.(C)</t>
  </si>
  <si>
    <t xml:space="preserve">http://debullshitization.com/</t>
  </si>
  <si>
    <t xml:space="preserve">Antler Kitchen &amp; Bar</t>
  </si>
  <si>
    <t xml:space="preserve">http://www.antlerkitchenbar.com/</t>
  </si>
  <si>
    <t xml:space="preserve">(647) 345-8300</t>
  </si>
  <si>
    <t xml:space="preserve">info@antlerkitchenbar.com</t>
  </si>
  <si>
    <t xml:space="preserve">Danforth Medical Centre</t>
  </si>
  <si>
    <t xml:space="preserve">https://www.scarboroughdoctorsclinic.ca/</t>
  </si>
  <si>
    <t xml:space="preserve">(416) 264-4848</t>
  </si>
  <si>
    <t xml:space="preserve">danforthmedicalcentre@gmail.com</t>
  </si>
  <si>
    <t xml:space="preserve">Grizzly Plumbing and Heating Inc</t>
  </si>
  <si>
    <t xml:space="preserve">http://grizzlyplumbingandheating.com/</t>
  </si>
  <si>
    <t xml:space="preserve">(416) 690-7477</t>
  </si>
  <si>
    <t xml:space="preserve">info@grizzlyph.ca</t>
  </si>
  <si>
    <t xml:space="preserve">AccuServ Heating and Air Conditioning</t>
  </si>
  <si>
    <t xml:space="preserve">http://accuservheating.com/</t>
  </si>
  <si>
    <t xml:space="preserve">(416) 269-2228</t>
  </si>
  <si>
    <t xml:space="preserve">info@accuservheating.com</t>
  </si>
  <si>
    <t xml:space="preserve">Impact Plumbing Scarborough</t>
  </si>
  <si>
    <t xml:space="preserve">http://impactplumbing.ca/</t>
  </si>
  <si>
    <t xml:space="preserve">(647) 295-9941</t>
  </si>
  <si>
    <t xml:space="preserve">shawn@impactplumbing.ca</t>
  </si>
  <si>
    <t xml:space="preserve">Dupont 24 Hour Fitness 24/7 Gym</t>
  </si>
  <si>
    <t xml:space="preserve">https://dupontfitness.ca/</t>
  </si>
  <si>
    <t xml:space="preserve">(416) 861-8181</t>
  </si>
  <si>
    <t xml:space="preserve">info@dupontfitness.ca</t>
  </si>
  <si>
    <t xml:space="preserve">AHS Pool &amp; Landscaping Design</t>
  </si>
  <si>
    <t xml:space="preserve">https://actionhomeservices.ca/</t>
  </si>
  <si>
    <t xml:space="preserve">(647) 937-1023</t>
  </si>
  <si>
    <t xml:space="preserve">info@actionhomeservices.ca</t>
  </si>
  <si>
    <t xml:space="preserve">Sam plumbing services</t>
  </si>
  <si>
    <t xml:space="preserve">http://samplumbing.ca/</t>
  </si>
  <si>
    <t xml:space="preserve">(416) 888-1454</t>
  </si>
  <si>
    <t xml:space="preserve">info@samplumbing.ca</t>
  </si>
  <si>
    <t xml:space="preserve">The Beech Tree</t>
  </si>
  <si>
    <t xml:space="preserve">http://www.thebeechtree.ca/</t>
  </si>
  <si>
    <t xml:space="preserve">(416) 699-4444</t>
  </si>
  <si>
    <t xml:space="preserve">helderca@yahoo.ca</t>
  </si>
  <si>
    <t xml:space="preserve">Ellesmere Medical Clinic</t>
  </si>
  <si>
    <t xml:space="preserve">https://www.ellesmeremedicalclinic.ca/</t>
  </si>
  <si>
    <t xml:space="preserve">+1 416-201-3180</t>
  </si>
  <si>
    <t xml:space="preserve">info@ellesmeremedicalclinic.ca</t>
  </si>
  <si>
    <t xml:space="preserve">Progress Centre Medical</t>
  </si>
  <si>
    <t xml:space="preserve">https://progresscentremedical.com/</t>
  </si>
  <si>
    <t xml:space="preserve">+1 647-350-6662</t>
  </si>
  <si>
    <t xml:space="preserve">info@progresscentremedical.com</t>
  </si>
  <si>
    <t xml:space="preserve">Scarborough Dental</t>
  </si>
  <si>
    <t xml:space="preserve">http://scarboroughdental.ca/</t>
  </si>
  <si>
    <t xml:space="preserve">+1 416-439-6776</t>
  </si>
  <si>
    <t xml:space="preserve">info@scarboroughdental.ca</t>
  </si>
  <si>
    <t xml:space="preserve">Scarborough Dental Group</t>
  </si>
  <si>
    <t xml:space="preserve">https://scarboroughdentalgroup.com/?utm_source=google&amp;utm_medium=organic&amp;utm_campaign=gmb-listing</t>
  </si>
  <si>
    <t xml:space="preserve">+1 416-285-1076</t>
  </si>
  <si>
    <t xml:space="preserve">office@scarboroughdentalgroup.com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</si>
</sst>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ecisionlandscaping.ca/" TargetMode="External"/><Relationship Id="rId2" Type="http://schemas.openxmlformats.org/officeDocument/2006/relationships/hyperlink" Target="http://easyflowhvac.ca/" TargetMode="External"/><Relationship Id="rId3" Type="http://schemas.openxmlformats.org/officeDocument/2006/relationships/hyperlink" Target="http://www.paitoronto.com/" TargetMode="External"/><Relationship Id="rId4" Type="http://schemas.openxmlformats.org/officeDocument/2006/relationships/hyperlink" Target="https://tintexpress.ca/" TargetMode="External"/><Relationship Id="rId5" Type="http://schemas.openxmlformats.org/officeDocument/2006/relationships/hyperlink" Target="http://www.torontotintstudio.com/" TargetMode="External"/><Relationship Id="rId6" Type="http://schemas.openxmlformats.org/officeDocument/2006/relationships/hyperlink" Target="http://pickupplumbing.ca/" TargetMode="External"/><Relationship Id="rId7" Type="http://schemas.openxmlformats.org/officeDocument/2006/relationships/hyperlink" Target="https://queensharbour.ca/" TargetMode="External"/><Relationship Id="rId8" Type="http://schemas.openxmlformats.org/officeDocument/2006/relationships/hyperlink" Target="http://www.aeroseal.org/" TargetMode="External"/><Relationship Id="rId9" Type="http://schemas.openxmlformats.org/officeDocument/2006/relationships/hyperlink" Target="https://riseclinic.ca/toronto/" TargetMode="External"/><Relationship Id="rId10" Type="http://schemas.openxmlformats.org/officeDocument/2006/relationships/hyperlink" Target="https://thecrewlandscaping.ca/" TargetMode="External"/><Relationship Id="rId11" Type="http://schemas.openxmlformats.org/officeDocument/2006/relationships/hyperlink" Target="https://abautotint.com/" TargetMode="External"/><Relationship Id="rId12" Type="http://schemas.openxmlformats.org/officeDocument/2006/relationships/hyperlink" Target="http://www.setprotectivefilms.ca/" TargetMode="External"/><Relationship Id="rId13" Type="http://schemas.openxmlformats.org/officeDocument/2006/relationships/hyperlink" Target="https://www.orumarestaurant.com/" TargetMode="External"/><Relationship Id="rId14" Type="http://schemas.openxmlformats.org/officeDocument/2006/relationships/hyperlink" Target="https://joeyrestaurants.com/location/joey-king-street" TargetMode="External"/><Relationship Id="rId15" Type="http://schemas.openxmlformats.org/officeDocument/2006/relationships/hyperlink" Target="http://www.auto-links.ca/" TargetMode="External"/><Relationship Id="rId16" Type="http://schemas.openxmlformats.org/officeDocument/2006/relationships/hyperlink" Target="https://1997nailbar.com/downtown-booking" TargetMode="External"/><Relationship Id="rId17" Type="http://schemas.openxmlformats.org/officeDocument/2006/relationships/hyperlink" Target="https://cityhomecomfort.ca/" TargetMode="External"/><Relationship Id="rId18" Type="http://schemas.openxmlformats.org/officeDocument/2006/relationships/hyperlink" Target="http://www.dufferinmall.ca/" TargetMode="External"/><Relationship Id="rId19" Type="http://schemas.openxmlformats.org/officeDocument/2006/relationships/hyperlink" Target="http://www.camh.ca/" TargetMode="External"/><Relationship Id="rId20" Type="http://schemas.openxmlformats.org/officeDocument/2006/relationships/hyperlink" Target="http://www.primalmotion.com/" TargetMode="External"/><Relationship Id="rId21" Type="http://schemas.openxmlformats.org/officeDocument/2006/relationships/hyperlink" Target="https://homelandmarket.ca/" TargetMode="External"/><Relationship Id="rId22" Type="http://schemas.openxmlformats.org/officeDocument/2006/relationships/hyperlink" Target="http://richmondstation.ca/" TargetMode="External"/><Relationship Id="rId23" Type="http://schemas.openxmlformats.org/officeDocument/2006/relationships/hyperlink" Target="http://www.brasaperuvian.com/" TargetMode="External"/><Relationship Id="rId24" Type="http://schemas.openxmlformats.org/officeDocument/2006/relationships/hyperlink" Target="https://mrfencee.com/" TargetMode="External"/><Relationship Id="rId25" Type="http://schemas.openxmlformats.org/officeDocument/2006/relationships/hyperlink" Target="https://shops.cadillacfairview.com/property/cf-fairview-mall" TargetMode="External"/><Relationship Id="rId26" Type="http://schemas.openxmlformats.org/officeDocument/2006/relationships/hyperlink" Target="https://mindtorontopsychology.ca/" TargetMode="External"/><Relationship Id="rId27" Type="http://schemas.openxmlformats.org/officeDocument/2006/relationships/hyperlink" Target="https://www.vieclinic.com/" TargetMode="External"/><Relationship Id="rId28" Type="http://schemas.openxmlformats.org/officeDocument/2006/relationships/hyperlink" Target="http://www.dynamichealthclinic.ca/" TargetMode="External"/><Relationship Id="rId29" Type="http://schemas.openxmlformats.org/officeDocument/2006/relationships/hyperlink" Target="http://www.lonzoskitchen.com/" TargetMode="External"/><Relationship Id="rId30" Type="http://schemas.openxmlformats.org/officeDocument/2006/relationships/hyperlink" Target="https://golfdalemedical.ca/" TargetMode="External"/><Relationship Id="rId31" Type="http://schemas.openxmlformats.org/officeDocument/2006/relationships/hyperlink" Target="https://www.psychoedclinic.com/" TargetMode="External"/><Relationship Id="rId32" Type="http://schemas.openxmlformats.org/officeDocument/2006/relationships/hyperlink" Target="http://www.crescenttownclub.com/" TargetMode="External"/><Relationship Id="rId33" Type="http://schemas.openxmlformats.org/officeDocument/2006/relationships/hyperlink" Target="http://northqualityhvac.ca/" TargetMode="External"/><Relationship Id="rId34" Type="http://schemas.openxmlformats.org/officeDocument/2006/relationships/hyperlink" Target="https://www.premiumoutlets.com/outlet/toronto" TargetMode="External"/><Relationship Id="rId35" Type="http://schemas.openxmlformats.org/officeDocument/2006/relationships/hyperlink" Target="http://frechettelawncare.com/" TargetMode="External"/><Relationship Id="rId36" Type="http://schemas.openxmlformats.org/officeDocument/2006/relationships/hyperlink" Target="http://www.yorkdale.com/" TargetMode="External"/><Relationship Id="rId37" Type="http://schemas.openxmlformats.org/officeDocument/2006/relationships/hyperlink" Target="https://www.lukeslandscaping.ca/?utm_source=gbp&amp;utm_medium=organic&amp;utm_campaign=scarborough&amp;utm_term=gbp-listing" TargetMode="External"/><Relationship Id="rId38" Type="http://schemas.openxmlformats.org/officeDocument/2006/relationships/hyperlink" Target="https://ellesmerefamilyhealth.com/" TargetMode="External"/><Relationship Id="rId39" Type="http://schemas.openxmlformats.org/officeDocument/2006/relationships/hyperlink" Target="https://the-bombay-restaurant.com/?" TargetMode="External"/><Relationship Id="rId40" Type="http://schemas.openxmlformats.org/officeDocument/2006/relationships/hyperlink" Target="http://www.raym1993.com/" TargetMode="External"/><Relationship Id="rId41" Type="http://schemas.openxmlformats.org/officeDocument/2006/relationships/hyperlink" Target="https://www.goodlifefitness.com/clubs/club.291.html?utm_source=G&amp;utm_medium=LPM&amp;utm_campaign=GoodlifeFitness" TargetMode="External"/><Relationship Id="rId42" Type="http://schemas.openxmlformats.org/officeDocument/2006/relationships/hyperlink" Target="http://www.dspotdessert.com/" TargetMode="External"/><Relationship Id="rId43" Type="http://schemas.openxmlformats.org/officeDocument/2006/relationships/hyperlink" Target="https://thompsonclinic.ca/" TargetMode="External"/><Relationship Id="rId44" Type="http://schemas.openxmlformats.org/officeDocument/2006/relationships/hyperlink" Target="http://www.restaurantlucie.com/" TargetMode="External"/><Relationship Id="rId45" Type="http://schemas.openxmlformats.org/officeDocument/2006/relationships/hyperlink" Target="http://www.restorativelandscapes.com/" TargetMode="External"/><Relationship Id="rId46" Type="http://schemas.openxmlformats.org/officeDocument/2006/relationships/hyperlink" Target="http://gunittoronto.ca/" TargetMode="External"/><Relationship Id="rId47" Type="http://schemas.openxmlformats.org/officeDocument/2006/relationships/hyperlink" Target="https://blueelephantcuisine.com/?utm_source=google&amp;utm_medium=maps&amp;utm_campaign=website" TargetMode="External"/><Relationship Id="rId48" Type="http://schemas.openxmlformats.org/officeDocument/2006/relationships/hyperlink" Target="http://www.yuugiizakaya.com/" TargetMode="External"/><Relationship Id="rId49" Type="http://schemas.openxmlformats.org/officeDocument/2006/relationships/hyperlink" Target="https://cityairtoronto.com/" TargetMode="External"/><Relationship Id="rId50" Type="http://schemas.openxmlformats.org/officeDocument/2006/relationships/hyperlink" Target="http://www.greenhouselandscaping.ca/" TargetMode="External"/><Relationship Id="rId51" Type="http://schemas.openxmlformats.org/officeDocument/2006/relationships/hyperlink" Target="https://www.equinox.com/clubs/toronto/bayst?cid=gmb" TargetMode="External"/><Relationship Id="rId52" Type="http://schemas.openxmlformats.org/officeDocument/2006/relationships/hyperlink" Target="https://www.leuschners.com/" TargetMode="External"/><Relationship Id="rId53" Type="http://schemas.openxmlformats.org/officeDocument/2006/relationships/hyperlink" Target="https://trinityplumbinganddrainingservices.com/" TargetMode="External"/><Relationship Id="rId54" Type="http://schemas.openxmlformats.org/officeDocument/2006/relationships/hyperlink" Target="https://earls.ca/locations/financial--district/" TargetMode="External"/><Relationship Id="rId55" Type="http://schemas.openxmlformats.org/officeDocument/2006/relationships/hyperlink" Target="http://www.canoerestaurant.com/" TargetMode="External"/><Relationship Id="rId56" Type="http://schemas.openxmlformats.org/officeDocument/2006/relationships/hyperlink" Target="http://www.loftnailstudio.com/" TargetMode="External"/><Relationship Id="rId57" Type="http://schemas.openxmlformats.org/officeDocument/2006/relationships/hyperlink" Target="https://www.planetfitness.ca/gyms/toronto-gerrard-square?utm_medium=organic&amp;utm_source=extnet" TargetMode="External"/><Relationship Id="rId58" Type="http://schemas.openxmlformats.org/officeDocument/2006/relationships/hyperlink" Target="http://www.aubergedupommier.com/" TargetMode="External"/><Relationship Id="rId59" Type="http://schemas.openxmlformats.org/officeDocument/2006/relationships/hyperlink" Target="https://www.unity-toronto.com/" TargetMode="External"/><Relationship Id="rId60" Type="http://schemas.openxmlformats.org/officeDocument/2006/relationships/hyperlink" Target="https://lylatoronto.com/" TargetMode="External"/><Relationship Id="rId61" Type="http://schemas.openxmlformats.org/officeDocument/2006/relationships/hyperlink" Target="http://eliteculture.ca/" TargetMode="External"/><Relationship Id="rId62" Type="http://schemas.openxmlformats.org/officeDocument/2006/relationships/hyperlink" Target="http://osteriagiulia.ca/" TargetMode="External"/><Relationship Id="rId63" Type="http://schemas.openxmlformats.org/officeDocument/2006/relationships/hyperlink" Target="http://seoulgamjatang.com/?utm_source=Google&amp;utm_medium=organic&amp;utm_campaign=GBP" TargetMode="External"/><Relationship Id="rId64" Type="http://schemas.openxmlformats.org/officeDocument/2006/relationships/hyperlink" Target="https://www.lafitness.com/Pages/clubhome.aspx?clubid=663&amp;utm_source=google&amp;utm_medium=googlemaps&amp;utm_campaign=maps" TargetMode="External"/><Relationship Id="rId65" Type="http://schemas.openxmlformats.org/officeDocument/2006/relationships/hyperlink" Target="http://thornhilltcm.com/?utm_source=googlemybusiness&amp;utm_medium=organic&amp;utm_campaign=Google%20My%20Business" TargetMode="External"/><Relationship Id="rId66" Type="http://schemas.openxmlformats.org/officeDocument/2006/relationships/hyperlink" Target="http://vivefitness.com/1391-gerrard-st-toronto/" TargetMode="External"/><Relationship Id="rId67" Type="http://schemas.openxmlformats.org/officeDocument/2006/relationships/hyperlink" Target="http://www.fivelionshvac.com/" TargetMode="External"/><Relationship Id="rId68" Type="http://schemas.openxmlformats.org/officeDocument/2006/relationships/hyperlink" Target="http://www.georgeonqueen.com/" TargetMode="External"/><Relationship Id="rId69" Type="http://schemas.openxmlformats.org/officeDocument/2006/relationships/hyperlink" Target="https://shops.cadillacfairview.com/property/cf-toronto-eaton-centre" TargetMode="External"/><Relationship Id="rId70" Type="http://schemas.openxmlformats.org/officeDocument/2006/relationships/hyperlink" Target="http://mapleclinic.info/" TargetMode="External"/><Relationship Id="rId71" Type="http://schemas.openxmlformats.org/officeDocument/2006/relationships/hyperlink" Target="https://www.dawsondental.ca/site/scarborough-dentist?utm_source=G&amp;utm_medium=LPM&amp;utm_campaign=DentalCorp" TargetMode="External"/><Relationship Id="rId72" Type="http://schemas.openxmlformats.org/officeDocument/2006/relationships/hyperlink" Target="http://www.studiodentalcentres.ca/" TargetMode="External"/><Relationship Id="rId73" Type="http://schemas.openxmlformats.org/officeDocument/2006/relationships/hyperlink" Target="https://fitfactoryfitness.com/pricing/downtown/" TargetMode="External"/><Relationship Id="rId74" Type="http://schemas.openxmlformats.org/officeDocument/2006/relationships/hyperlink" Target="https://awtl.ca/" TargetMode="External"/><Relationship Id="rId75" Type="http://schemas.openxmlformats.org/officeDocument/2006/relationships/hyperlink" Target="https://www.fit4less.ca/locations/provinces/ontario/scarborough/scarborough-golden-mile?utm_source=G&amp;utm_medium=lpm&amp;utm_campaign=fit4less" TargetMode="External"/><Relationship Id="rId76" Type="http://schemas.openxmlformats.org/officeDocument/2006/relationships/hyperlink" Target="https://www.sweatandtonic.com/" TargetMode="External"/><Relationship Id="rId77" Type="http://schemas.openxmlformats.org/officeDocument/2006/relationships/hyperlink" Target="http://gusto101.com/" TargetMode="External"/><Relationship Id="rId78" Type="http://schemas.openxmlformats.org/officeDocument/2006/relationships/hyperlink" Target="http://www.greystonemedicalcentre.ca/" TargetMode="External"/><Relationship Id="rId79" Type="http://schemas.openxmlformats.org/officeDocument/2006/relationships/hyperlink" Target="http://boxdesign.ca/" TargetMode="External"/><Relationship Id="rId80" Type="http://schemas.openxmlformats.org/officeDocument/2006/relationships/hyperlink" Target="https://www.scarborosmiles.ca/?utm_source=google&amp;utm_medium=organic&amp;utm_campaign=gmb" TargetMode="External"/><Relationship Id="rId81" Type="http://schemas.openxmlformats.org/officeDocument/2006/relationships/hyperlink" Target="http://debullshitization.com/" TargetMode="External"/><Relationship Id="rId82" Type="http://schemas.openxmlformats.org/officeDocument/2006/relationships/hyperlink" Target="http://www.antlerkitchenbar.com/" TargetMode="External"/><Relationship Id="rId83" Type="http://schemas.openxmlformats.org/officeDocument/2006/relationships/hyperlink" Target="https://www.scarboroughdoctorsclinic.ca/" TargetMode="External"/><Relationship Id="rId84" Type="http://schemas.openxmlformats.org/officeDocument/2006/relationships/hyperlink" Target="http://grizzlyplumbingandheating.com/" TargetMode="External"/><Relationship Id="rId85" Type="http://schemas.openxmlformats.org/officeDocument/2006/relationships/hyperlink" Target="http://accuservheating.com/" TargetMode="External"/><Relationship Id="rId86" Type="http://schemas.openxmlformats.org/officeDocument/2006/relationships/hyperlink" Target="http://impactplumbing.ca/" TargetMode="External"/><Relationship Id="rId87" Type="http://schemas.openxmlformats.org/officeDocument/2006/relationships/hyperlink" Target="https://dupontfitness.ca/" TargetMode="External"/><Relationship Id="rId88" Type="http://schemas.openxmlformats.org/officeDocument/2006/relationships/hyperlink" Target="https://actionhomeservices.ca/" TargetMode="External"/><Relationship Id="rId89" Type="http://schemas.openxmlformats.org/officeDocument/2006/relationships/hyperlink" Target="http://samplumbing.ca/" TargetMode="External"/><Relationship Id="rId90" Type="http://schemas.openxmlformats.org/officeDocument/2006/relationships/hyperlink" Target="http://www.thebeechtree.ca/" TargetMode="External"/><Relationship Id="rId91" Type="http://schemas.openxmlformats.org/officeDocument/2006/relationships/hyperlink" Target="https://www.ellesmeremedicalclinic.ca/" TargetMode="External"/><Relationship Id="rId92" Type="http://schemas.openxmlformats.org/officeDocument/2006/relationships/hyperlink" Target="https://progresscentremedical.com/" TargetMode="External"/><Relationship Id="rId93" Type="http://schemas.openxmlformats.org/officeDocument/2006/relationships/hyperlink" Target="http://scarboroughdental.ca/" TargetMode="External"/><Relationship Id="rId94" Type="http://schemas.openxmlformats.org/officeDocument/2006/relationships/hyperlink" Target="https://scarboroughdentalgroup.com/?utm_source=google&amp;utm_medium=organic&amp;utm_campaign=gmb-list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7" min="16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57.45" hidden="false" customHeight="false" outlineLevel="0" collapsed="false">
      <c r="A2" s="2" t="n">
        <v>1</v>
      </c>
      <c r="B2" s="3" t="s">
        <v>17</v>
      </c>
      <c r="C2" s="4" t="s">
        <v>18</v>
      </c>
      <c r="D2" s="5" t="s">
        <v>19</v>
      </c>
      <c r="E2" s="3" t="s">
        <v>20</v>
      </c>
      <c r="F2" s="3" t="s">
        <v>21</v>
      </c>
      <c r="G2" s="3" t="s">
        <v>22</v>
      </c>
      <c r="H2" s="6" t="n">
        <v>4.6</v>
      </c>
      <c r="I2" s="7"/>
      <c r="J2" s="7"/>
      <c r="K2" s="7"/>
      <c r="L2" s="8" t="n">
        <f aca="false">I2+J2+K2</f>
        <v>0</v>
      </c>
      <c r="M2" s="8" t="n">
        <f aca="false">RANK(L2,$L$2:$L$101,0)</f>
        <v>1</v>
      </c>
      <c r="N2" s="3" t="s">
        <v>23</v>
      </c>
      <c r="O2" s="9" t="s">
        <v>24</v>
      </c>
      <c r="P2" s="3"/>
      <c r="Q2" s="10"/>
    </row>
    <row r="3" customFormat="false" ht="15" hidden="false" customHeight="false" outlineLevel="0" collapsed="false">
      <c r="A3" s="2" t="n">
        <v>2</v>
      </c>
      <c r="B3" s="3" t="s">
        <v>25</v>
      </c>
      <c r="C3" s="4" t="s">
        <v>26</v>
      </c>
      <c r="D3" s="3"/>
      <c r="E3" s="3" t="s">
        <v>27</v>
      </c>
      <c r="F3" s="3"/>
      <c r="G3" s="3" t="s">
        <v>22</v>
      </c>
      <c r="H3" s="6" t="n">
        <v>4.8</v>
      </c>
      <c r="I3" s="7"/>
      <c r="J3" s="7"/>
      <c r="K3" s="7"/>
      <c r="L3" s="8" t="n">
        <f aca="false">I3+J3+K3</f>
        <v>0</v>
      </c>
      <c r="M3" s="8" t="n">
        <f aca="false">RANK(L3,$L$2:$L$101,0)</f>
        <v>1</v>
      </c>
      <c r="N3" s="3" t="s">
        <v>28</v>
      </c>
      <c r="O3" s="9"/>
      <c r="P3" s="3"/>
      <c r="Q3" s="10"/>
    </row>
    <row r="4" customFormat="false" ht="15" hidden="false" customHeight="false" outlineLevel="0" collapsed="false">
      <c r="A4" s="2" t="n">
        <v>3</v>
      </c>
      <c r="B4" s="3" t="s">
        <v>29</v>
      </c>
      <c r="C4" s="4" t="s">
        <v>30</v>
      </c>
      <c r="D4" s="5" t="s">
        <v>31</v>
      </c>
      <c r="E4" s="3" t="s">
        <v>32</v>
      </c>
      <c r="F4" s="3"/>
      <c r="G4" s="3" t="s">
        <v>33</v>
      </c>
      <c r="H4" s="6" t="n">
        <v>5</v>
      </c>
      <c r="I4" s="7"/>
      <c r="J4" s="7"/>
      <c r="K4" s="7"/>
      <c r="L4" s="8" t="n">
        <f aca="false">I4+J4+K4</f>
        <v>0</v>
      </c>
      <c r="M4" s="8" t="n">
        <f aca="false">RANK(L4,$L$2:$L$101,0)</f>
        <v>1</v>
      </c>
      <c r="N4" s="3" t="s">
        <v>34</v>
      </c>
      <c r="O4" s="9"/>
      <c r="P4" s="3"/>
      <c r="Q4" s="10"/>
    </row>
    <row r="5" customFormat="false" ht="15" hidden="false" customHeight="false" outlineLevel="0" collapsed="false">
      <c r="A5" s="2" t="n">
        <v>4</v>
      </c>
      <c r="B5" s="3" t="s">
        <v>35</v>
      </c>
      <c r="C5" s="4" t="s">
        <v>36</v>
      </c>
      <c r="D5" s="5" t="s">
        <v>37</v>
      </c>
      <c r="E5" s="3" t="s">
        <v>38</v>
      </c>
      <c r="F5" s="3" t="s">
        <v>39</v>
      </c>
      <c r="G5" s="3" t="s">
        <v>40</v>
      </c>
      <c r="H5" s="6" t="n">
        <v>4.7</v>
      </c>
      <c r="I5" s="7"/>
      <c r="J5" s="7"/>
      <c r="K5" s="7"/>
      <c r="L5" s="8" t="n">
        <f aca="false">I5+J5+K5</f>
        <v>0</v>
      </c>
      <c r="M5" s="8" t="n">
        <f aca="false">RANK(L5,$L$2:$L$101,0)</f>
        <v>1</v>
      </c>
      <c r="N5" s="3" t="s">
        <v>28</v>
      </c>
      <c r="O5" s="9"/>
      <c r="P5" s="3"/>
      <c r="Q5" s="10"/>
    </row>
    <row r="6" customFormat="false" ht="15" hidden="false" customHeight="false" outlineLevel="0" collapsed="false">
      <c r="A6" s="2" t="n">
        <v>5</v>
      </c>
      <c r="B6" s="3" t="s">
        <v>41</v>
      </c>
      <c r="C6" s="4" t="s">
        <v>42</v>
      </c>
      <c r="D6" s="5" t="s">
        <v>43</v>
      </c>
      <c r="E6" s="3" t="s">
        <v>44</v>
      </c>
      <c r="F6" s="3" t="s">
        <v>45</v>
      </c>
      <c r="G6" s="3" t="s">
        <v>46</v>
      </c>
      <c r="H6" s="6" t="n">
        <v>4.9</v>
      </c>
      <c r="I6" s="7"/>
      <c r="J6" s="7"/>
      <c r="K6" s="7"/>
      <c r="L6" s="8" t="n">
        <f aca="false">I6+J6+K6</f>
        <v>0</v>
      </c>
      <c r="M6" s="8" t="n">
        <f aca="false">RANK(L6,$L$2:$L$101,0)</f>
        <v>1</v>
      </c>
      <c r="N6" s="3" t="s">
        <v>28</v>
      </c>
      <c r="O6" s="9"/>
      <c r="P6" s="3"/>
      <c r="Q6" s="10"/>
    </row>
    <row r="7" customFormat="false" ht="15" hidden="false" customHeight="false" outlineLevel="0" collapsed="false">
      <c r="A7" s="2" t="n">
        <v>6</v>
      </c>
      <c r="B7" s="3" t="s">
        <v>47</v>
      </c>
      <c r="C7" s="4" t="s">
        <v>42</v>
      </c>
      <c r="D7" s="5" t="s">
        <v>48</v>
      </c>
      <c r="E7" s="3" t="s">
        <v>49</v>
      </c>
      <c r="F7" s="3" t="s">
        <v>50</v>
      </c>
      <c r="G7" s="3" t="s">
        <v>46</v>
      </c>
      <c r="H7" s="6" t="n">
        <v>4.9</v>
      </c>
      <c r="I7" s="7"/>
      <c r="J7" s="7"/>
      <c r="K7" s="7"/>
      <c r="L7" s="8" t="n">
        <f aca="false">I7+J7+K7</f>
        <v>0</v>
      </c>
      <c r="M7" s="8" t="n">
        <f aca="false">RANK(L7,$L$2:$L$101,0)</f>
        <v>1</v>
      </c>
      <c r="N7" s="3" t="s">
        <v>28</v>
      </c>
      <c r="O7" s="9"/>
      <c r="P7" s="3"/>
      <c r="Q7" s="10"/>
    </row>
    <row r="8" customFormat="false" ht="15" hidden="false" customHeight="false" outlineLevel="0" collapsed="false">
      <c r="A8" s="2" t="n">
        <v>7</v>
      </c>
      <c r="B8" s="3" t="s">
        <v>51</v>
      </c>
      <c r="C8" s="4" t="s">
        <v>52</v>
      </c>
      <c r="D8" s="5" t="s">
        <v>53</v>
      </c>
      <c r="E8" s="3" t="s">
        <v>54</v>
      </c>
      <c r="F8" s="3" t="s">
        <v>55</v>
      </c>
      <c r="G8" s="3" t="s">
        <v>22</v>
      </c>
      <c r="H8" s="6" t="n">
        <v>5</v>
      </c>
      <c r="I8" s="7"/>
      <c r="J8" s="7"/>
      <c r="K8" s="7"/>
      <c r="L8" s="8" t="n">
        <f aca="false">I8+J8+K8</f>
        <v>0</v>
      </c>
      <c r="M8" s="8" t="n">
        <f aca="false">RANK(L8,$L$2:$L$101,0)</f>
        <v>1</v>
      </c>
      <c r="N8" s="3" t="s">
        <v>28</v>
      </c>
      <c r="O8" s="9"/>
      <c r="P8" s="3"/>
      <c r="Q8" s="10"/>
    </row>
    <row r="9" customFormat="false" ht="15" hidden="false" customHeight="false" outlineLevel="0" collapsed="false">
      <c r="A9" s="2" t="n">
        <v>8</v>
      </c>
      <c r="B9" s="3" t="s">
        <v>56</v>
      </c>
      <c r="C9" s="4" t="s">
        <v>36</v>
      </c>
      <c r="D9" s="5" t="s">
        <v>57</v>
      </c>
      <c r="E9" s="3" t="s">
        <v>58</v>
      </c>
      <c r="F9" s="3" t="s">
        <v>59</v>
      </c>
      <c r="G9" s="3" t="s">
        <v>40</v>
      </c>
      <c r="H9" s="6" t="n">
        <v>4.7</v>
      </c>
      <c r="I9" s="7"/>
      <c r="J9" s="7"/>
      <c r="K9" s="7"/>
      <c r="L9" s="8" t="n">
        <f aca="false">I9+J9+K9</f>
        <v>0</v>
      </c>
      <c r="M9" s="8" t="n">
        <f aca="false">RANK(L9,$L$2:$L$101,0)</f>
        <v>1</v>
      </c>
      <c r="N9" s="3" t="s">
        <v>28</v>
      </c>
      <c r="O9" s="9"/>
      <c r="P9" s="3"/>
      <c r="Q9" s="10"/>
    </row>
    <row r="10" customFormat="false" ht="15" hidden="false" customHeight="false" outlineLevel="0" collapsed="false">
      <c r="A10" s="2" t="n">
        <v>9</v>
      </c>
      <c r="B10" s="3" t="s">
        <v>60</v>
      </c>
      <c r="C10" s="4" t="s">
        <v>30</v>
      </c>
      <c r="D10" s="5" t="s">
        <v>61</v>
      </c>
      <c r="E10" s="3" t="s">
        <v>62</v>
      </c>
      <c r="F10" s="3" t="s">
        <v>63</v>
      </c>
      <c r="G10" s="3" t="s">
        <v>33</v>
      </c>
      <c r="H10" s="6" t="n">
        <v>5</v>
      </c>
      <c r="I10" s="7"/>
      <c r="J10" s="7"/>
      <c r="K10" s="7"/>
      <c r="L10" s="8" t="n">
        <f aca="false">I10+J10+K10</f>
        <v>0</v>
      </c>
      <c r="M10" s="8" t="n">
        <f aca="false">RANK(L10,$L$2:$L$101,0)</f>
        <v>1</v>
      </c>
      <c r="N10" s="3" t="s">
        <v>28</v>
      </c>
      <c r="O10" s="9"/>
      <c r="P10" s="3"/>
      <c r="Q10" s="10"/>
    </row>
    <row r="11" customFormat="false" ht="15" hidden="false" customHeight="false" outlineLevel="0" collapsed="false">
      <c r="A11" s="2" t="n">
        <v>10</v>
      </c>
      <c r="B11" s="3" t="s">
        <v>64</v>
      </c>
      <c r="C11" s="4" t="s">
        <v>65</v>
      </c>
      <c r="D11" s="5" t="s">
        <v>66</v>
      </c>
      <c r="E11" s="3" t="s">
        <v>67</v>
      </c>
      <c r="F11" s="3" t="s">
        <v>68</v>
      </c>
      <c r="G11" s="3" t="s">
        <v>22</v>
      </c>
      <c r="H11" s="6" t="n">
        <v>5</v>
      </c>
      <c r="I11" s="7"/>
      <c r="J11" s="7"/>
      <c r="K11" s="7"/>
      <c r="L11" s="8" t="n">
        <f aca="false">I11+J11+K11</f>
        <v>0</v>
      </c>
      <c r="M11" s="8" t="n">
        <f aca="false">RANK(L11,$L$2:$L$101,0)</f>
        <v>1</v>
      </c>
      <c r="N11" s="3" t="s">
        <v>28</v>
      </c>
      <c r="O11" s="9"/>
      <c r="P11" s="3"/>
      <c r="Q11" s="10"/>
    </row>
    <row r="12" customFormat="false" ht="15" hidden="false" customHeight="false" outlineLevel="0" collapsed="false">
      <c r="A12" s="2" t="n">
        <v>11</v>
      </c>
      <c r="B12" s="3" t="s">
        <v>69</v>
      </c>
      <c r="C12" s="4" t="s">
        <v>18</v>
      </c>
      <c r="D12" s="5" t="s">
        <v>70</v>
      </c>
      <c r="E12" s="3" t="s">
        <v>71</v>
      </c>
      <c r="F12" s="3" t="s">
        <v>72</v>
      </c>
      <c r="G12" s="3" t="s">
        <v>22</v>
      </c>
      <c r="H12" s="6" t="n">
        <v>4.6</v>
      </c>
      <c r="I12" s="7"/>
      <c r="J12" s="7"/>
      <c r="K12" s="7"/>
      <c r="L12" s="8" t="n">
        <f aca="false">I12+J12+K12</f>
        <v>0</v>
      </c>
      <c r="M12" s="8" t="n">
        <f aca="false">RANK(L12,$L$2:$L$101,0)</f>
        <v>1</v>
      </c>
      <c r="N12" s="3" t="s">
        <v>28</v>
      </c>
      <c r="O12" s="9"/>
      <c r="P12" s="3"/>
      <c r="Q12" s="10"/>
    </row>
    <row r="13" customFormat="false" ht="15" hidden="false" customHeight="false" outlineLevel="0" collapsed="false">
      <c r="A13" s="2" t="n">
        <v>12</v>
      </c>
      <c r="B13" s="3" t="s">
        <v>73</v>
      </c>
      <c r="C13" s="4" t="s">
        <v>42</v>
      </c>
      <c r="D13" s="5" t="s">
        <v>74</v>
      </c>
      <c r="E13" s="3" t="s">
        <v>75</v>
      </c>
      <c r="F13" s="3" t="s">
        <v>76</v>
      </c>
      <c r="G13" s="3" t="s">
        <v>46</v>
      </c>
      <c r="H13" s="6" t="n">
        <v>4.9</v>
      </c>
      <c r="I13" s="7"/>
      <c r="J13" s="7"/>
      <c r="K13" s="7"/>
      <c r="L13" s="8" t="n">
        <f aca="false">I13+J13+K13</f>
        <v>0</v>
      </c>
      <c r="M13" s="8" t="n">
        <f aca="false">RANK(L13,$L$2:$L$101,0)</f>
        <v>1</v>
      </c>
      <c r="N13" s="3" t="s">
        <v>28</v>
      </c>
      <c r="O13" s="9"/>
      <c r="P13" s="3"/>
      <c r="Q13" s="10"/>
    </row>
    <row r="14" customFormat="false" ht="15" hidden="false" customHeight="false" outlineLevel="0" collapsed="false">
      <c r="A14" s="2" t="n">
        <v>13</v>
      </c>
      <c r="B14" s="3" t="s">
        <v>77</v>
      </c>
      <c r="C14" s="4" t="s">
        <v>42</v>
      </c>
      <c r="D14" s="5" t="s">
        <v>78</v>
      </c>
      <c r="E14" s="3" t="s">
        <v>79</v>
      </c>
      <c r="F14" s="3"/>
      <c r="G14" s="3" t="s">
        <v>46</v>
      </c>
      <c r="H14" s="6" t="n">
        <v>4.9</v>
      </c>
      <c r="I14" s="7"/>
      <c r="J14" s="7"/>
      <c r="K14" s="7"/>
      <c r="L14" s="8" t="n">
        <f aca="false">I14+J14+K14</f>
        <v>0</v>
      </c>
      <c r="M14" s="8" t="n">
        <f aca="false">RANK(L14,$L$2:$L$101,0)</f>
        <v>1</v>
      </c>
      <c r="N14" s="3" t="s">
        <v>28</v>
      </c>
      <c r="O14" s="9"/>
      <c r="P14" s="3"/>
      <c r="Q14" s="10"/>
    </row>
    <row r="15" customFormat="false" ht="15" hidden="false" customHeight="false" outlineLevel="0" collapsed="false">
      <c r="A15" s="2" t="n">
        <v>14</v>
      </c>
      <c r="B15" s="3" t="s">
        <v>80</v>
      </c>
      <c r="C15" s="4" t="s">
        <v>36</v>
      </c>
      <c r="D15" s="5" t="s">
        <v>81</v>
      </c>
      <c r="E15" s="3" t="s">
        <v>82</v>
      </c>
      <c r="F15" s="3"/>
      <c r="G15" s="3" t="s">
        <v>40</v>
      </c>
      <c r="H15" s="6" t="n">
        <v>4.7</v>
      </c>
      <c r="I15" s="7"/>
      <c r="J15" s="7"/>
      <c r="K15" s="7"/>
      <c r="L15" s="8" t="n">
        <f aca="false">I15+J15+K15</f>
        <v>0</v>
      </c>
      <c r="M15" s="8" t="n">
        <f aca="false">RANK(L15,$L$2:$L$101,0)</f>
        <v>1</v>
      </c>
      <c r="N15" s="3" t="s">
        <v>28</v>
      </c>
      <c r="O15" s="9"/>
      <c r="P15" s="3"/>
      <c r="Q15" s="10"/>
    </row>
    <row r="16" customFormat="false" ht="15" hidden="false" customHeight="false" outlineLevel="0" collapsed="false">
      <c r="A16" s="2" t="n">
        <v>15</v>
      </c>
      <c r="B16" s="3" t="s">
        <v>83</v>
      </c>
      <c r="C16" s="4" t="s">
        <v>36</v>
      </c>
      <c r="D16" s="5" t="s">
        <v>84</v>
      </c>
      <c r="E16" s="3" t="s">
        <v>85</v>
      </c>
      <c r="F16" s="3" t="s">
        <v>86</v>
      </c>
      <c r="G16" s="3" t="s">
        <v>40</v>
      </c>
      <c r="H16" s="6" t="n">
        <v>4.7</v>
      </c>
      <c r="I16" s="7"/>
      <c r="J16" s="7"/>
      <c r="K16" s="7"/>
      <c r="L16" s="8" t="n">
        <f aca="false">I16+J16+K16</f>
        <v>0</v>
      </c>
      <c r="M16" s="8" t="n">
        <f aca="false">RANK(L16,$L$2:$L$101,0)</f>
        <v>1</v>
      </c>
      <c r="N16" s="3" t="s">
        <v>28</v>
      </c>
      <c r="O16" s="9"/>
      <c r="P16" s="3"/>
      <c r="Q16" s="10"/>
    </row>
    <row r="17" customFormat="false" ht="15" hidden="false" customHeight="false" outlineLevel="0" collapsed="false">
      <c r="A17" s="2" t="n">
        <v>16</v>
      </c>
      <c r="B17" s="3" t="s">
        <v>87</v>
      </c>
      <c r="C17" s="4" t="s">
        <v>42</v>
      </c>
      <c r="D17" s="5" t="s">
        <v>88</v>
      </c>
      <c r="E17" s="3" t="s">
        <v>89</v>
      </c>
      <c r="F17" s="3"/>
      <c r="G17" s="3" t="s">
        <v>46</v>
      </c>
      <c r="H17" s="6" t="n">
        <v>4.9</v>
      </c>
      <c r="I17" s="7"/>
      <c r="J17" s="7"/>
      <c r="K17" s="7"/>
      <c r="L17" s="8" t="n">
        <f aca="false">I17+J17+K17</f>
        <v>0</v>
      </c>
      <c r="M17" s="8" t="n">
        <f aca="false">RANK(L17,$L$2:$L$101,0)</f>
        <v>1</v>
      </c>
      <c r="N17" s="3" t="s">
        <v>28</v>
      </c>
      <c r="O17" s="9"/>
      <c r="P17" s="3"/>
      <c r="Q17" s="10"/>
    </row>
    <row r="18" customFormat="false" ht="15" hidden="false" customHeight="false" outlineLevel="0" collapsed="false">
      <c r="A18" s="2" t="n">
        <v>17</v>
      </c>
      <c r="B18" s="3" t="s">
        <v>90</v>
      </c>
      <c r="C18" s="4" t="s">
        <v>91</v>
      </c>
      <c r="D18" s="5" t="s">
        <v>92</v>
      </c>
      <c r="E18" s="3" t="s">
        <v>93</v>
      </c>
      <c r="F18" s="3" t="s">
        <v>94</v>
      </c>
      <c r="G18" s="3" t="s">
        <v>40</v>
      </c>
      <c r="H18" s="6" t="n">
        <v>5</v>
      </c>
      <c r="I18" s="7"/>
      <c r="J18" s="7"/>
      <c r="K18" s="7"/>
      <c r="L18" s="8" t="n">
        <f aca="false">I18+J18+K18</f>
        <v>0</v>
      </c>
      <c r="M18" s="8" t="n">
        <f aca="false">RANK(L18,$L$2:$L$101,0)</f>
        <v>1</v>
      </c>
      <c r="N18" s="3" t="s">
        <v>28</v>
      </c>
      <c r="O18" s="9"/>
      <c r="P18" s="3"/>
      <c r="Q18" s="10"/>
    </row>
    <row r="19" customFormat="false" ht="15" hidden="false" customHeight="false" outlineLevel="0" collapsed="false">
      <c r="A19" s="2" t="n">
        <v>18</v>
      </c>
      <c r="B19" s="3" t="s">
        <v>95</v>
      </c>
      <c r="C19" s="4" t="s">
        <v>30</v>
      </c>
      <c r="D19" s="5" t="s">
        <v>96</v>
      </c>
      <c r="E19" s="3" t="s">
        <v>97</v>
      </c>
      <c r="F19" s="3" t="s">
        <v>98</v>
      </c>
      <c r="G19" s="3" t="s">
        <v>33</v>
      </c>
      <c r="H19" s="6" t="n">
        <v>5</v>
      </c>
      <c r="I19" s="7"/>
      <c r="J19" s="7"/>
      <c r="K19" s="7"/>
      <c r="L19" s="8" t="n">
        <f aca="false">I19+J19+K19</f>
        <v>0</v>
      </c>
      <c r="M19" s="8" t="n">
        <f aca="false">RANK(L19,$L$2:$L$101,0)</f>
        <v>1</v>
      </c>
      <c r="N19" s="3" t="s">
        <v>28</v>
      </c>
      <c r="O19" s="9"/>
      <c r="P19" s="3"/>
      <c r="Q19" s="10"/>
    </row>
    <row r="20" customFormat="false" ht="15" hidden="false" customHeight="false" outlineLevel="0" collapsed="false">
      <c r="A20" s="2" t="n">
        <v>19</v>
      </c>
      <c r="B20" s="3" t="s">
        <v>99</v>
      </c>
      <c r="C20" s="4" t="s">
        <v>42</v>
      </c>
      <c r="D20" s="3"/>
      <c r="E20" s="3"/>
      <c r="F20" s="3"/>
      <c r="G20" s="3" t="s">
        <v>46</v>
      </c>
      <c r="H20" s="6" t="n">
        <v>4.9</v>
      </c>
      <c r="I20" s="7"/>
      <c r="J20" s="7"/>
      <c r="K20" s="7"/>
      <c r="L20" s="8" t="n">
        <f aca="false">I20+J20+K20</f>
        <v>0</v>
      </c>
      <c r="M20" s="8" t="n">
        <f aca="false">RANK(L20,$L$2:$L$101,0)</f>
        <v>1</v>
      </c>
      <c r="N20" s="3" t="s">
        <v>28</v>
      </c>
      <c r="O20" s="9"/>
      <c r="P20" s="3"/>
      <c r="Q20" s="10"/>
    </row>
    <row r="21" customFormat="false" ht="15" hidden="false" customHeight="false" outlineLevel="0" collapsed="false">
      <c r="A21" s="2" t="n">
        <v>20</v>
      </c>
      <c r="B21" s="3" t="s">
        <v>100</v>
      </c>
      <c r="C21" s="4" t="s">
        <v>101</v>
      </c>
      <c r="D21" s="5" t="s">
        <v>102</v>
      </c>
      <c r="E21" s="3" t="s">
        <v>103</v>
      </c>
      <c r="F21" s="3"/>
      <c r="G21" s="3" t="s">
        <v>22</v>
      </c>
      <c r="H21" s="6" t="n">
        <v>4</v>
      </c>
      <c r="I21" s="7"/>
      <c r="J21" s="7"/>
      <c r="K21" s="7"/>
      <c r="L21" s="8" t="n">
        <f aca="false">I21+J21+K21</f>
        <v>0</v>
      </c>
      <c r="M21" s="8" t="n">
        <f aca="false">RANK(L21,$L$2:$L$101,0)</f>
        <v>1</v>
      </c>
      <c r="N21" s="3" t="s">
        <v>28</v>
      </c>
      <c r="O21" s="9"/>
      <c r="P21" s="3"/>
      <c r="Q21" s="10"/>
    </row>
    <row r="22" customFormat="false" ht="15" hidden="false" customHeight="false" outlineLevel="0" collapsed="false">
      <c r="A22" s="2" t="n">
        <v>21</v>
      </c>
      <c r="B22" s="3" t="s">
        <v>104</v>
      </c>
      <c r="C22" s="4" t="s">
        <v>65</v>
      </c>
      <c r="D22" s="5" t="s">
        <v>105</v>
      </c>
      <c r="E22" s="3" t="s">
        <v>106</v>
      </c>
      <c r="F22" s="3" t="s">
        <v>107</v>
      </c>
      <c r="G22" s="3" t="s">
        <v>22</v>
      </c>
      <c r="H22" s="6" t="n">
        <v>5</v>
      </c>
      <c r="I22" s="7"/>
      <c r="J22" s="7"/>
      <c r="K22" s="7"/>
      <c r="L22" s="8" t="n">
        <f aca="false">I22+J22+K22</f>
        <v>0</v>
      </c>
      <c r="M22" s="8" t="n">
        <f aca="false">RANK(L22,$L$2:$L$101,0)</f>
        <v>1</v>
      </c>
      <c r="N22" s="3" t="s">
        <v>28</v>
      </c>
      <c r="O22" s="9"/>
      <c r="P22" s="3"/>
      <c r="Q22" s="10"/>
    </row>
    <row r="23" customFormat="false" ht="15" hidden="false" customHeight="false" outlineLevel="0" collapsed="false">
      <c r="A23" s="2" t="n">
        <v>22</v>
      </c>
      <c r="B23" s="3" t="s">
        <v>108</v>
      </c>
      <c r="C23" s="4" t="s">
        <v>109</v>
      </c>
      <c r="D23" s="5" t="s">
        <v>110</v>
      </c>
      <c r="E23" s="3" t="s">
        <v>111</v>
      </c>
      <c r="F23" s="3" t="s">
        <v>112</v>
      </c>
      <c r="G23" s="3" t="s">
        <v>22</v>
      </c>
      <c r="H23" s="6" t="n">
        <v>4.3</v>
      </c>
      <c r="I23" s="7"/>
      <c r="J23" s="7"/>
      <c r="K23" s="7"/>
      <c r="L23" s="8" t="n">
        <f aca="false">I23+J23+K23</f>
        <v>0</v>
      </c>
      <c r="M23" s="8" t="n">
        <f aca="false">RANK(L23,$L$2:$L$101,0)</f>
        <v>1</v>
      </c>
      <c r="N23" s="3" t="s">
        <v>28</v>
      </c>
      <c r="O23" s="9"/>
      <c r="P23" s="3"/>
      <c r="Q23" s="10"/>
    </row>
    <row r="24" customFormat="false" ht="15" hidden="false" customHeight="false" outlineLevel="0" collapsed="false">
      <c r="A24" s="2" t="n">
        <v>23</v>
      </c>
      <c r="B24" s="3" t="s">
        <v>113</v>
      </c>
      <c r="C24" s="4" t="s">
        <v>18</v>
      </c>
      <c r="D24" s="5" t="s">
        <v>114</v>
      </c>
      <c r="E24" s="3" t="s">
        <v>115</v>
      </c>
      <c r="F24" s="3" t="s">
        <v>116</v>
      </c>
      <c r="G24" s="3" t="s">
        <v>40</v>
      </c>
      <c r="H24" s="6" t="n">
        <v>4.6</v>
      </c>
      <c r="I24" s="7"/>
      <c r="J24" s="7"/>
      <c r="K24" s="7"/>
      <c r="L24" s="8" t="n">
        <f aca="false">I24+J24+K24</f>
        <v>0</v>
      </c>
      <c r="M24" s="8" t="n">
        <f aca="false">RANK(L24,$L$2:$L$101,0)</f>
        <v>1</v>
      </c>
      <c r="N24" s="3" t="s">
        <v>28</v>
      </c>
      <c r="O24" s="9"/>
      <c r="P24" s="3"/>
      <c r="Q24" s="10"/>
    </row>
    <row r="25" customFormat="false" ht="15" hidden="false" customHeight="false" outlineLevel="0" collapsed="false">
      <c r="A25" s="2" t="n">
        <v>24</v>
      </c>
      <c r="B25" s="3" t="s">
        <v>117</v>
      </c>
      <c r="C25" s="4" t="s">
        <v>36</v>
      </c>
      <c r="D25" s="5" t="s">
        <v>118</v>
      </c>
      <c r="E25" s="3" t="s">
        <v>119</v>
      </c>
      <c r="F25" s="3"/>
      <c r="G25" s="3" t="s">
        <v>40</v>
      </c>
      <c r="H25" s="6" t="n">
        <v>4.7</v>
      </c>
      <c r="I25" s="7"/>
      <c r="J25" s="7"/>
      <c r="K25" s="7"/>
      <c r="L25" s="8" t="n">
        <f aca="false">I25+J25+K25</f>
        <v>0</v>
      </c>
      <c r="M25" s="8" t="n">
        <f aca="false">RANK(L25,$L$2:$L$101,0)</f>
        <v>1</v>
      </c>
      <c r="N25" s="3" t="s">
        <v>28</v>
      </c>
      <c r="O25" s="9"/>
      <c r="P25" s="3"/>
      <c r="Q25" s="10"/>
    </row>
    <row r="26" customFormat="false" ht="15" hidden="false" customHeight="false" outlineLevel="0" collapsed="false">
      <c r="A26" s="2" t="n">
        <v>25</v>
      </c>
      <c r="B26" s="3" t="s">
        <v>120</v>
      </c>
      <c r="C26" s="4" t="s">
        <v>36</v>
      </c>
      <c r="D26" s="5" t="s">
        <v>121</v>
      </c>
      <c r="E26" s="3" t="s">
        <v>122</v>
      </c>
      <c r="F26" s="3" t="s">
        <v>123</v>
      </c>
      <c r="G26" s="3" t="s">
        <v>40</v>
      </c>
      <c r="H26" s="6" t="n">
        <v>4.7</v>
      </c>
      <c r="I26" s="7"/>
      <c r="J26" s="7"/>
      <c r="K26" s="7"/>
      <c r="L26" s="8" t="n">
        <f aca="false">I26+J26+K26</f>
        <v>0</v>
      </c>
      <c r="M26" s="8" t="n">
        <f aca="false">RANK(L26,$L$2:$L$101,0)</f>
        <v>1</v>
      </c>
      <c r="N26" s="3" t="s">
        <v>28</v>
      </c>
      <c r="O26" s="9"/>
      <c r="P26" s="3"/>
      <c r="Q26" s="10"/>
    </row>
    <row r="27" customFormat="false" ht="15" hidden="false" customHeight="false" outlineLevel="0" collapsed="false">
      <c r="A27" s="2" t="n">
        <v>26</v>
      </c>
      <c r="B27" s="3" t="s">
        <v>124</v>
      </c>
      <c r="C27" s="4" t="s">
        <v>18</v>
      </c>
      <c r="D27" s="5" t="s">
        <v>125</v>
      </c>
      <c r="E27" s="3" t="s">
        <v>126</v>
      </c>
      <c r="F27" s="3" t="s">
        <v>127</v>
      </c>
      <c r="G27" s="3" t="s">
        <v>40</v>
      </c>
      <c r="H27" s="6" t="n">
        <v>4.6</v>
      </c>
      <c r="I27" s="7"/>
      <c r="J27" s="7"/>
      <c r="K27" s="7"/>
      <c r="L27" s="8" t="n">
        <f aca="false">I27+J27+K27</f>
        <v>0</v>
      </c>
      <c r="M27" s="8" t="n">
        <f aca="false">RANK(L27,$L$2:$L$101,0)</f>
        <v>1</v>
      </c>
      <c r="N27" s="3" t="s">
        <v>28</v>
      </c>
      <c r="O27" s="9"/>
      <c r="P27" s="3"/>
      <c r="Q27" s="10"/>
    </row>
    <row r="28" customFormat="false" ht="15" hidden="false" customHeight="false" outlineLevel="0" collapsed="false">
      <c r="A28" s="2" t="n">
        <v>27</v>
      </c>
      <c r="B28" s="3" t="s">
        <v>128</v>
      </c>
      <c r="C28" s="4" t="s">
        <v>101</v>
      </c>
      <c r="D28" s="5" t="s">
        <v>129</v>
      </c>
      <c r="E28" s="3" t="s">
        <v>130</v>
      </c>
      <c r="F28" s="3"/>
      <c r="G28" s="3" t="s">
        <v>22</v>
      </c>
      <c r="H28" s="6" t="n">
        <v>4</v>
      </c>
      <c r="I28" s="7"/>
      <c r="J28" s="7"/>
      <c r="K28" s="7"/>
      <c r="L28" s="8" t="n">
        <f aca="false">I28+J28+K28</f>
        <v>0</v>
      </c>
      <c r="M28" s="8" t="n">
        <f aca="false">RANK(L28,$L$2:$L$101,0)</f>
        <v>1</v>
      </c>
      <c r="N28" s="3" t="s">
        <v>28</v>
      </c>
      <c r="O28" s="9"/>
      <c r="P28" s="3"/>
      <c r="Q28" s="10"/>
    </row>
    <row r="29" customFormat="false" ht="15" hidden="false" customHeight="false" outlineLevel="0" collapsed="false">
      <c r="A29" s="2" t="n">
        <v>28</v>
      </c>
      <c r="B29" s="3" t="s">
        <v>131</v>
      </c>
      <c r="C29" s="4" t="s">
        <v>65</v>
      </c>
      <c r="D29" s="5" t="s">
        <v>132</v>
      </c>
      <c r="E29" s="3" t="s">
        <v>133</v>
      </c>
      <c r="F29" s="3" t="s">
        <v>134</v>
      </c>
      <c r="G29" s="3" t="s">
        <v>22</v>
      </c>
      <c r="H29" s="6" t="n">
        <v>5</v>
      </c>
      <c r="I29" s="7"/>
      <c r="J29" s="7"/>
      <c r="K29" s="7"/>
      <c r="L29" s="8" t="n">
        <f aca="false">I29+J29+K29</f>
        <v>0</v>
      </c>
      <c r="M29" s="8" t="n">
        <f aca="false">RANK(L29,$L$2:$L$101,0)</f>
        <v>1</v>
      </c>
      <c r="N29" s="3" t="s">
        <v>28</v>
      </c>
      <c r="O29" s="9"/>
      <c r="P29" s="3"/>
      <c r="Q29" s="10"/>
    </row>
    <row r="30" customFormat="false" ht="15" hidden="false" customHeight="false" outlineLevel="0" collapsed="false">
      <c r="A30" s="2" t="n">
        <v>29</v>
      </c>
      <c r="B30" s="3" t="s">
        <v>135</v>
      </c>
      <c r="C30" s="4" t="s">
        <v>65</v>
      </c>
      <c r="D30" s="5" t="s">
        <v>136</v>
      </c>
      <c r="E30" s="3" t="s">
        <v>137</v>
      </c>
      <c r="F30" s="3" t="s">
        <v>138</v>
      </c>
      <c r="G30" s="3" t="s">
        <v>22</v>
      </c>
      <c r="H30" s="6" t="n">
        <v>5</v>
      </c>
      <c r="I30" s="7"/>
      <c r="J30" s="7"/>
      <c r="K30" s="7"/>
      <c r="L30" s="8" t="n">
        <f aca="false">I30+J30+K30</f>
        <v>0</v>
      </c>
      <c r="M30" s="8" t="n">
        <f aca="false">RANK(L30,$L$2:$L$101,0)</f>
        <v>1</v>
      </c>
      <c r="N30" s="3" t="s">
        <v>28</v>
      </c>
      <c r="O30" s="9"/>
      <c r="P30" s="3"/>
      <c r="Q30" s="10"/>
    </row>
    <row r="31" customFormat="false" ht="15" hidden="false" customHeight="false" outlineLevel="0" collapsed="false">
      <c r="A31" s="2" t="n">
        <v>30</v>
      </c>
      <c r="B31" s="3" t="s">
        <v>139</v>
      </c>
      <c r="C31" s="4" t="s">
        <v>65</v>
      </c>
      <c r="D31" s="5" t="s">
        <v>140</v>
      </c>
      <c r="E31" s="3" t="s">
        <v>141</v>
      </c>
      <c r="F31" s="3" t="s">
        <v>142</v>
      </c>
      <c r="G31" s="3" t="s">
        <v>22</v>
      </c>
      <c r="H31" s="6" t="n">
        <v>5</v>
      </c>
      <c r="I31" s="7"/>
      <c r="J31" s="7"/>
      <c r="K31" s="7"/>
      <c r="L31" s="8" t="n">
        <f aca="false">I31+J31+K31</f>
        <v>0</v>
      </c>
      <c r="M31" s="8" t="n">
        <f aca="false">RANK(L31,$L$2:$L$101,0)</f>
        <v>1</v>
      </c>
      <c r="N31" s="3" t="s">
        <v>28</v>
      </c>
      <c r="O31" s="9"/>
      <c r="P31" s="3"/>
      <c r="Q31" s="10"/>
    </row>
    <row r="32" customFormat="false" ht="15" hidden="false" customHeight="false" outlineLevel="0" collapsed="false">
      <c r="A32" s="2" t="n">
        <v>31</v>
      </c>
      <c r="B32" s="3" t="s">
        <v>143</v>
      </c>
      <c r="C32" s="4" t="s">
        <v>36</v>
      </c>
      <c r="D32" s="5" t="s">
        <v>144</v>
      </c>
      <c r="E32" s="3" t="s">
        <v>145</v>
      </c>
      <c r="F32" s="3" t="s">
        <v>146</v>
      </c>
      <c r="G32" s="3" t="s">
        <v>40</v>
      </c>
      <c r="H32" s="6" t="n">
        <v>4.7</v>
      </c>
      <c r="I32" s="7"/>
      <c r="J32" s="7"/>
      <c r="K32" s="7"/>
      <c r="L32" s="8" t="n">
        <f aca="false">I32+J32+K32</f>
        <v>0</v>
      </c>
      <c r="M32" s="8" t="n">
        <f aca="false">RANK(L32,$L$2:$L$101,0)</f>
        <v>1</v>
      </c>
      <c r="N32" s="3" t="s">
        <v>28</v>
      </c>
      <c r="O32" s="9"/>
      <c r="P32" s="3"/>
      <c r="Q32" s="10"/>
    </row>
    <row r="33" customFormat="false" ht="15" hidden="false" customHeight="false" outlineLevel="0" collapsed="false">
      <c r="A33" s="2" t="n">
        <v>32</v>
      </c>
      <c r="B33" s="3" t="s">
        <v>147</v>
      </c>
      <c r="C33" s="4" t="s">
        <v>148</v>
      </c>
      <c r="D33" s="5" t="s">
        <v>149</v>
      </c>
      <c r="E33" s="3" t="s">
        <v>150</v>
      </c>
      <c r="F33" s="3" t="s">
        <v>151</v>
      </c>
      <c r="G33" s="3" t="s">
        <v>152</v>
      </c>
      <c r="H33" s="6" t="n">
        <v>4.5</v>
      </c>
      <c r="I33" s="7"/>
      <c r="J33" s="7"/>
      <c r="K33" s="7"/>
      <c r="L33" s="8" t="n">
        <f aca="false">I33+J33+K33</f>
        <v>0</v>
      </c>
      <c r="M33" s="8" t="n">
        <f aca="false">RANK(L33,$L$2:$L$101,0)</f>
        <v>1</v>
      </c>
      <c r="N33" s="3" t="s">
        <v>28</v>
      </c>
      <c r="O33" s="9"/>
      <c r="P33" s="3"/>
      <c r="Q33" s="10"/>
    </row>
    <row r="34" customFormat="false" ht="15" hidden="false" customHeight="false" outlineLevel="0" collapsed="false">
      <c r="A34" s="2" t="n">
        <v>33</v>
      </c>
      <c r="B34" s="3" t="s">
        <v>153</v>
      </c>
      <c r="C34" s="4" t="s">
        <v>65</v>
      </c>
      <c r="D34" s="5" t="s">
        <v>154</v>
      </c>
      <c r="E34" s="3" t="s">
        <v>155</v>
      </c>
      <c r="F34" s="3" t="s">
        <v>156</v>
      </c>
      <c r="G34" s="3" t="s">
        <v>22</v>
      </c>
      <c r="H34" s="6" t="n">
        <v>5</v>
      </c>
      <c r="I34" s="7"/>
      <c r="J34" s="7"/>
      <c r="K34" s="7"/>
      <c r="L34" s="8" t="n">
        <f aca="false">I34+J34+K34</f>
        <v>0</v>
      </c>
      <c r="M34" s="8" t="n">
        <f aca="false">RANK(L34,$L$2:$L$101,0)</f>
        <v>1</v>
      </c>
      <c r="N34" s="3" t="s">
        <v>28</v>
      </c>
      <c r="O34" s="9"/>
      <c r="P34" s="3"/>
      <c r="Q34" s="10"/>
    </row>
    <row r="35" customFormat="false" ht="15" hidden="false" customHeight="false" outlineLevel="0" collapsed="false">
      <c r="A35" s="2" t="n">
        <v>34</v>
      </c>
      <c r="B35" s="3" t="s">
        <v>157</v>
      </c>
      <c r="C35" s="4" t="s">
        <v>109</v>
      </c>
      <c r="D35" s="5" t="s">
        <v>158</v>
      </c>
      <c r="E35" s="3" t="s">
        <v>159</v>
      </c>
      <c r="F35" s="3" t="s">
        <v>160</v>
      </c>
      <c r="G35" s="3" t="s">
        <v>22</v>
      </c>
      <c r="H35" s="6" t="n">
        <v>4.3</v>
      </c>
      <c r="I35" s="7"/>
      <c r="J35" s="7"/>
      <c r="K35" s="7"/>
      <c r="L35" s="8" t="n">
        <f aca="false">I35+J35+K35</f>
        <v>0</v>
      </c>
      <c r="M35" s="8" t="n">
        <f aca="false">RANK(L35,$L$2:$L$101,0)</f>
        <v>1</v>
      </c>
      <c r="N35" s="3" t="s">
        <v>28</v>
      </c>
      <c r="O35" s="9"/>
      <c r="P35" s="3"/>
      <c r="Q35" s="10"/>
    </row>
    <row r="36" customFormat="false" ht="15" hidden="false" customHeight="false" outlineLevel="0" collapsed="false">
      <c r="A36" s="2" t="n">
        <v>35</v>
      </c>
      <c r="B36" s="3" t="s">
        <v>161</v>
      </c>
      <c r="C36" s="4" t="s">
        <v>30</v>
      </c>
      <c r="D36" s="5" t="s">
        <v>162</v>
      </c>
      <c r="E36" s="3" t="s">
        <v>163</v>
      </c>
      <c r="F36" s="3"/>
      <c r="G36" s="3" t="s">
        <v>33</v>
      </c>
      <c r="H36" s="6" t="n">
        <v>5</v>
      </c>
      <c r="I36" s="7"/>
      <c r="J36" s="7"/>
      <c r="K36" s="7"/>
      <c r="L36" s="8" t="n">
        <f aca="false">I36+J36+K36</f>
        <v>0</v>
      </c>
      <c r="M36" s="8" t="n">
        <f aca="false">RANK(L36,$L$2:$L$101,0)</f>
        <v>1</v>
      </c>
      <c r="N36" s="3" t="s">
        <v>28</v>
      </c>
      <c r="O36" s="9"/>
      <c r="P36" s="3"/>
      <c r="Q36" s="10"/>
    </row>
    <row r="37" customFormat="false" ht="15" hidden="false" customHeight="false" outlineLevel="0" collapsed="false">
      <c r="A37" s="2" t="n">
        <v>36</v>
      </c>
      <c r="B37" s="3" t="s">
        <v>164</v>
      </c>
      <c r="C37" s="4" t="s">
        <v>101</v>
      </c>
      <c r="D37" s="5" t="s">
        <v>165</v>
      </c>
      <c r="E37" s="3" t="s">
        <v>166</v>
      </c>
      <c r="F37" s="3"/>
      <c r="G37" s="3" t="s">
        <v>22</v>
      </c>
      <c r="H37" s="6" t="n">
        <v>4</v>
      </c>
      <c r="I37" s="7"/>
      <c r="J37" s="7"/>
      <c r="K37" s="7"/>
      <c r="L37" s="8" t="n">
        <f aca="false">I37+J37+K37</f>
        <v>0</v>
      </c>
      <c r="M37" s="8" t="n">
        <f aca="false">RANK(L37,$L$2:$L$101,0)</f>
        <v>1</v>
      </c>
      <c r="N37" s="3" t="s">
        <v>28</v>
      </c>
      <c r="O37" s="9"/>
      <c r="P37" s="3"/>
      <c r="Q37" s="10"/>
    </row>
    <row r="38" customFormat="false" ht="15" hidden="false" customHeight="false" outlineLevel="0" collapsed="false">
      <c r="A38" s="2" t="n">
        <v>37</v>
      </c>
      <c r="B38" s="3" t="s">
        <v>167</v>
      </c>
      <c r="C38" s="4" t="s">
        <v>18</v>
      </c>
      <c r="D38" s="5" t="s">
        <v>168</v>
      </c>
      <c r="E38" s="3" t="s">
        <v>169</v>
      </c>
      <c r="F38" s="3" t="s">
        <v>170</v>
      </c>
      <c r="G38" s="3" t="s">
        <v>40</v>
      </c>
      <c r="H38" s="6" t="n">
        <v>4.6</v>
      </c>
      <c r="I38" s="7"/>
      <c r="J38" s="7"/>
      <c r="K38" s="7"/>
      <c r="L38" s="8" t="n">
        <f aca="false">I38+J38+K38</f>
        <v>0</v>
      </c>
      <c r="M38" s="8" t="n">
        <f aca="false">RANK(L38,$L$2:$L$101,0)</f>
        <v>1</v>
      </c>
      <c r="N38" s="3" t="s">
        <v>28</v>
      </c>
      <c r="O38" s="9"/>
      <c r="P38" s="3"/>
      <c r="Q38" s="10"/>
    </row>
    <row r="39" customFormat="false" ht="15" hidden="false" customHeight="false" outlineLevel="0" collapsed="false">
      <c r="A39" s="2" t="n">
        <v>38</v>
      </c>
      <c r="B39" s="3" t="s">
        <v>171</v>
      </c>
      <c r="C39" s="4" t="s">
        <v>101</v>
      </c>
      <c r="D39" s="5" t="s">
        <v>172</v>
      </c>
      <c r="E39" s="3" t="s">
        <v>173</v>
      </c>
      <c r="F39" s="3" t="s">
        <v>174</v>
      </c>
      <c r="G39" s="3" t="s">
        <v>22</v>
      </c>
      <c r="H39" s="6" t="n">
        <v>4</v>
      </c>
      <c r="I39" s="7"/>
      <c r="J39" s="7"/>
      <c r="K39" s="7"/>
      <c r="L39" s="8" t="n">
        <f aca="false">I39+J39+K39</f>
        <v>0</v>
      </c>
      <c r="M39" s="8" t="n">
        <f aca="false">RANK(L39,$L$2:$L$101,0)</f>
        <v>1</v>
      </c>
      <c r="N39" s="3" t="s">
        <v>28</v>
      </c>
      <c r="O39" s="9"/>
      <c r="P39" s="3"/>
      <c r="Q39" s="10"/>
    </row>
    <row r="40" customFormat="false" ht="15" hidden="false" customHeight="false" outlineLevel="0" collapsed="false">
      <c r="A40" s="2" t="n">
        <v>39</v>
      </c>
      <c r="B40" s="3" t="s">
        <v>175</v>
      </c>
      <c r="C40" s="4" t="s">
        <v>18</v>
      </c>
      <c r="D40" s="5" t="s">
        <v>176</v>
      </c>
      <c r="E40" s="3" t="s">
        <v>177</v>
      </c>
      <c r="F40" s="3" t="s">
        <v>178</v>
      </c>
      <c r="G40" s="3" t="s">
        <v>40</v>
      </c>
      <c r="H40" s="6" t="n">
        <v>4.6</v>
      </c>
      <c r="I40" s="7"/>
      <c r="J40" s="7"/>
      <c r="K40" s="7"/>
      <c r="L40" s="8" t="n">
        <f aca="false">I40+J40+K40</f>
        <v>0</v>
      </c>
      <c r="M40" s="8" t="n">
        <f aca="false">RANK(L40,$L$2:$L$101,0)</f>
        <v>1</v>
      </c>
      <c r="N40" s="3" t="s">
        <v>28</v>
      </c>
      <c r="O40" s="9"/>
      <c r="P40" s="3"/>
      <c r="Q40" s="10"/>
    </row>
    <row r="41" customFormat="false" ht="15" hidden="false" customHeight="false" outlineLevel="0" collapsed="false">
      <c r="A41" s="2" t="n">
        <v>40</v>
      </c>
      <c r="B41" s="3" t="s">
        <v>179</v>
      </c>
      <c r="C41" s="4" t="s">
        <v>148</v>
      </c>
      <c r="D41" s="5" t="s">
        <v>180</v>
      </c>
      <c r="E41" s="3" t="s">
        <v>181</v>
      </c>
      <c r="F41" s="3" t="s">
        <v>182</v>
      </c>
      <c r="G41" s="3" t="s">
        <v>152</v>
      </c>
      <c r="H41" s="6" t="n">
        <v>4.5</v>
      </c>
      <c r="I41" s="7"/>
      <c r="J41" s="7"/>
      <c r="K41" s="7"/>
      <c r="L41" s="8" t="n">
        <f aca="false">I41+J41+K41</f>
        <v>0</v>
      </c>
      <c r="M41" s="8" t="n">
        <f aca="false">RANK(L41,$L$2:$L$101,0)</f>
        <v>1</v>
      </c>
      <c r="N41" s="3" t="s">
        <v>28</v>
      </c>
      <c r="O41" s="9"/>
      <c r="P41" s="3"/>
      <c r="Q41" s="10"/>
    </row>
    <row r="42" customFormat="false" ht="15" hidden="false" customHeight="false" outlineLevel="0" collapsed="false">
      <c r="A42" s="2" t="n">
        <v>41</v>
      </c>
      <c r="B42" s="3" t="s">
        <v>183</v>
      </c>
      <c r="C42" s="4" t="s">
        <v>36</v>
      </c>
      <c r="D42" s="5" t="s">
        <v>184</v>
      </c>
      <c r="E42" s="3" t="s">
        <v>185</v>
      </c>
      <c r="F42" s="3" t="s">
        <v>186</v>
      </c>
      <c r="G42" s="3" t="s">
        <v>40</v>
      </c>
      <c r="H42" s="6" t="n">
        <v>4.7</v>
      </c>
      <c r="I42" s="7"/>
      <c r="J42" s="7"/>
      <c r="K42" s="7"/>
      <c r="L42" s="8" t="n">
        <f aca="false">I42+J42+K42</f>
        <v>0</v>
      </c>
      <c r="M42" s="8" t="n">
        <f aca="false">RANK(L42,$L$2:$L$101,0)</f>
        <v>1</v>
      </c>
      <c r="N42" s="3" t="s">
        <v>28</v>
      </c>
      <c r="O42" s="9"/>
      <c r="P42" s="3"/>
      <c r="Q42" s="10"/>
    </row>
    <row r="43" customFormat="false" ht="15" hidden="false" customHeight="false" outlineLevel="0" collapsed="false">
      <c r="A43" s="2" t="n">
        <v>42</v>
      </c>
      <c r="B43" s="3" t="s">
        <v>187</v>
      </c>
      <c r="C43" s="4" t="s">
        <v>18</v>
      </c>
      <c r="D43" s="5" t="s">
        <v>188</v>
      </c>
      <c r="E43" s="3" t="s">
        <v>189</v>
      </c>
      <c r="F43" s="3"/>
      <c r="G43" s="3" t="s">
        <v>40</v>
      </c>
      <c r="H43" s="6" t="n">
        <v>4.6</v>
      </c>
      <c r="I43" s="7"/>
      <c r="J43" s="7"/>
      <c r="K43" s="7"/>
      <c r="L43" s="8" t="n">
        <f aca="false">I43+J43+K43</f>
        <v>0</v>
      </c>
      <c r="M43" s="8" t="n">
        <f aca="false">RANK(L43,$L$2:$L$101,0)</f>
        <v>1</v>
      </c>
      <c r="N43" s="3" t="s">
        <v>28</v>
      </c>
      <c r="O43" s="9"/>
      <c r="P43" s="3"/>
      <c r="Q43" s="10"/>
    </row>
    <row r="44" customFormat="false" ht="15" hidden="false" customHeight="false" outlineLevel="0" collapsed="false">
      <c r="A44" s="2" t="n">
        <v>43</v>
      </c>
      <c r="B44" s="3" t="s">
        <v>190</v>
      </c>
      <c r="C44" s="4" t="s">
        <v>109</v>
      </c>
      <c r="D44" s="5" t="s">
        <v>191</v>
      </c>
      <c r="E44" s="3" t="s">
        <v>192</v>
      </c>
      <c r="F44" s="3" t="s">
        <v>193</v>
      </c>
      <c r="G44" s="3" t="s">
        <v>194</v>
      </c>
      <c r="H44" s="6" t="n">
        <v>4.8</v>
      </c>
      <c r="I44" s="7"/>
      <c r="J44" s="7"/>
      <c r="K44" s="7"/>
      <c r="L44" s="8" t="n">
        <f aca="false">I44+J44+K44</f>
        <v>0</v>
      </c>
      <c r="M44" s="8" t="n">
        <f aca="false">RANK(L44,$L$2:$L$101,0)</f>
        <v>1</v>
      </c>
      <c r="N44" s="3" t="s">
        <v>28</v>
      </c>
      <c r="O44" s="9"/>
      <c r="P44" s="3"/>
      <c r="Q44" s="10"/>
    </row>
    <row r="45" customFormat="false" ht="15" hidden="false" customHeight="false" outlineLevel="0" collapsed="false">
      <c r="A45" s="2" t="n">
        <v>44</v>
      </c>
      <c r="B45" s="3" t="s">
        <v>195</v>
      </c>
      <c r="C45" s="4" t="s">
        <v>26</v>
      </c>
      <c r="D45" s="5" t="s">
        <v>196</v>
      </c>
      <c r="E45" s="3" t="s">
        <v>197</v>
      </c>
      <c r="F45" s="3" t="s">
        <v>198</v>
      </c>
      <c r="G45" s="3" t="s">
        <v>22</v>
      </c>
      <c r="H45" s="6" t="n">
        <v>4.8</v>
      </c>
      <c r="I45" s="7"/>
      <c r="J45" s="7"/>
      <c r="K45" s="7"/>
      <c r="L45" s="8" t="n">
        <f aca="false">I45+J45+K45</f>
        <v>0</v>
      </c>
      <c r="M45" s="8" t="n">
        <f aca="false">RANK(L45,$L$2:$L$101,0)</f>
        <v>1</v>
      </c>
      <c r="N45" s="3" t="s">
        <v>28</v>
      </c>
      <c r="O45" s="9"/>
      <c r="P45" s="3"/>
      <c r="Q45" s="10"/>
    </row>
    <row r="46" customFormat="false" ht="15" hidden="false" customHeight="false" outlineLevel="0" collapsed="false">
      <c r="A46" s="2" t="n">
        <v>45</v>
      </c>
      <c r="B46" s="3" t="s">
        <v>199</v>
      </c>
      <c r="C46" s="4" t="s">
        <v>148</v>
      </c>
      <c r="D46" s="5" t="s">
        <v>200</v>
      </c>
      <c r="E46" s="3" t="s">
        <v>201</v>
      </c>
      <c r="F46" s="3" t="s">
        <v>202</v>
      </c>
      <c r="G46" s="3" t="s">
        <v>152</v>
      </c>
      <c r="H46" s="6" t="n">
        <v>4.5</v>
      </c>
      <c r="I46" s="7"/>
      <c r="J46" s="7"/>
      <c r="K46" s="7"/>
      <c r="L46" s="8" t="n">
        <f aca="false">I46+J46+K46</f>
        <v>0</v>
      </c>
      <c r="M46" s="8" t="n">
        <f aca="false">RANK(L46,$L$2:$L$101,0)</f>
        <v>1</v>
      </c>
      <c r="N46" s="3" t="s">
        <v>28</v>
      </c>
      <c r="O46" s="9"/>
      <c r="P46" s="3"/>
      <c r="Q46" s="10"/>
    </row>
    <row r="47" customFormat="false" ht="15" hidden="false" customHeight="false" outlineLevel="0" collapsed="false">
      <c r="A47" s="2" t="n">
        <v>46</v>
      </c>
      <c r="B47" s="3" t="s">
        <v>203</v>
      </c>
      <c r="C47" s="4" t="s">
        <v>36</v>
      </c>
      <c r="D47" s="5" t="s">
        <v>204</v>
      </c>
      <c r="E47" s="3" t="s">
        <v>205</v>
      </c>
      <c r="F47" s="3" t="s">
        <v>206</v>
      </c>
      <c r="G47" s="3" t="s">
        <v>40</v>
      </c>
      <c r="H47" s="6" t="n">
        <v>4.7</v>
      </c>
      <c r="I47" s="7"/>
      <c r="J47" s="7"/>
      <c r="K47" s="7"/>
      <c r="L47" s="8" t="n">
        <f aca="false">I47+J47+K47</f>
        <v>0</v>
      </c>
      <c r="M47" s="8" t="n">
        <f aca="false">RANK(L47,$L$2:$L$101,0)</f>
        <v>1</v>
      </c>
      <c r="N47" s="3" t="s">
        <v>28</v>
      </c>
      <c r="O47" s="9"/>
      <c r="P47" s="3"/>
      <c r="Q47" s="10"/>
    </row>
    <row r="48" customFormat="false" ht="15" hidden="false" customHeight="false" outlineLevel="0" collapsed="false">
      <c r="A48" s="2" t="n">
        <v>47</v>
      </c>
      <c r="B48" s="3" t="s">
        <v>207</v>
      </c>
      <c r="C48" s="4" t="s">
        <v>18</v>
      </c>
      <c r="D48" s="5" t="s">
        <v>208</v>
      </c>
      <c r="E48" s="3" t="s">
        <v>209</v>
      </c>
      <c r="F48" s="3"/>
      <c r="G48" s="3" t="s">
        <v>40</v>
      </c>
      <c r="H48" s="6" t="n">
        <v>4.6</v>
      </c>
      <c r="I48" s="7"/>
      <c r="J48" s="7"/>
      <c r="K48" s="7"/>
      <c r="L48" s="8" t="n">
        <f aca="false">I48+J48+K48</f>
        <v>0</v>
      </c>
      <c r="M48" s="8" t="n">
        <f aca="false">RANK(L48,$L$2:$L$101,0)</f>
        <v>1</v>
      </c>
      <c r="N48" s="3" t="s">
        <v>28</v>
      </c>
      <c r="O48" s="9"/>
      <c r="P48" s="3"/>
      <c r="Q48" s="10"/>
    </row>
    <row r="49" customFormat="false" ht="15" hidden="false" customHeight="false" outlineLevel="0" collapsed="false">
      <c r="A49" s="2" t="n">
        <v>48</v>
      </c>
      <c r="B49" s="3" t="s">
        <v>210</v>
      </c>
      <c r="C49" s="4" t="s">
        <v>42</v>
      </c>
      <c r="D49" s="5" t="s">
        <v>211</v>
      </c>
      <c r="E49" s="3" t="s">
        <v>212</v>
      </c>
      <c r="F49" s="3"/>
      <c r="G49" s="3" t="s">
        <v>46</v>
      </c>
      <c r="H49" s="6" t="n">
        <v>4.9</v>
      </c>
      <c r="I49" s="7"/>
      <c r="J49" s="7"/>
      <c r="K49" s="7"/>
      <c r="L49" s="8" t="n">
        <f aca="false">I49+J49+K49</f>
        <v>0</v>
      </c>
      <c r="M49" s="8" t="n">
        <f aca="false">RANK(L49,$L$2:$L$101,0)</f>
        <v>1</v>
      </c>
      <c r="N49" s="3" t="s">
        <v>28</v>
      </c>
      <c r="O49" s="9"/>
      <c r="P49" s="3"/>
      <c r="Q49" s="10"/>
    </row>
    <row r="50" customFormat="false" ht="15" hidden="false" customHeight="false" outlineLevel="0" collapsed="false">
      <c r="A50" s="2" t="n">
        <v>49</v>
      </c>
      <c r="B50" s="3" t="s">
        <v>213</v>
      </c>
      <c r="C50" s="4" t="s">
        <v>36</v>
      </c>
      <c r="D50" s="5" t="s">
        <v>214</v>
      </c>
      <c r="E50" s="3" t="s">
        <v>215</v>
      </c>
      <c r="F50" s="3" t="s">
        <v>186</v>
      </c>
      <c r="G50" s="3" t="s">
        <v>40</v>
      </c>
      <c r="H50" s="6" t="n">
        <v>4.7</v>
      </c>
      <c r="I50" s="7"/>
      <c r="J50" s="7"/>
      <c r="K50" s="7"/>
      <c r="L50" s="8" t="n">
        <f aca="false">I50+J50+K50</f>
        <v>0</v>
      </c>
      <c r="M50" s="8" t="n">
        <f aca="false">RANK(L50,$L$2:$L$101,0)</f>
        <v>1</v>
      </c>
      <c r="N50" s="3" t="s">
        <v>28</v>
      </c>
      <c r="O50" s="9"/>
      <c r="P50" s="3"/>
      <c r="Q50" s="10"/>
    </row>
    <row r="51" customFormat="false" ht="15" hidden="false" customHeight="false" outlineLevel="0" collapsed="false">
      <c r="A51" s="2" t="n">
        <v>50</v>
      </c>
      <c r="B51" s="3" t="s">
        <v>216</v>
      </c>
      <c r="C51" s="4" t="s">
        <v>36</v>
      </c>
      <c r="D51" s="5" t="s">
        <v>217</v>
      </c>
      <c r="E51" s="3" t="s">
        <v>218</v>
      </c>
      <c r="F51" s="3" t="s">
        <v>219</v>
      </c>
      <c r="G51" s="3" t="s">
        <v>40</v>
      </c>
      <c r="H51" s="6" t="n">
        <v>4.7</v>
      </c>
      <c r="I51" s="7"/>
      <c r="J51" s="7"/>
      <c r="K51" s="7"/>
      <c r="L51" s="8" t="n">
        <f aca="false">I51+J51+K51</f>
        <v>0</v>
      </c>
      <c r="M51" s="8" t="n">
        <f aca="false">RANK(L51,$L$2:$L$101,0)</f>
        <v>1</v>
      </c>
      <c r="N51" s="3" t="s">
        <v>28</v>
      </c>
      <c r="O51" s="9"/>
      <c r="P51" s="3"/>
      <c r="Q51" s="10"/>
    </row>
    <row r="52" customFormat="false" ht="15" hidden="false" customHeight="false" outlineLevel="0" collapsed="false">
      <c r="A52" s="2" t="n">
        <v>51</v>
      </c>
      <c r="B52" s="3" t="s">
        <v>220</v>
      </c>
      <c r="C52" s="4" t="s">
        <v>30</v>
      </c>
      <c r="D52" s="5" t="s">
        <v>221</v>
      </c>
      <c r="E52" s="3" t="s">
        <v>222</v>
      </c>
      <c r="F52" s="3" t="s">
        <v>223</v>
      </c>
      <c r="G52" s="3" t="s">
        <v>33</v>
      </c>
      <c r="H52" s="6" t="n">
        <v>5</v>
      </c>
      <c r="I52" s="7"/>
      <c r="J52" s="7"/>
      <c r="K52" s="7"/>
      <c r="L52" s="8" t="n">
        <f aca="false">I52+J52+K52</f>
        <v>0</v>
      </c>
      <c r="M52" s="8" t="n">
        <f aca="false">RANK(L52,$L$2:$L$101,0)</f>
        <v>1</v>
      </c>
      <c r="N52" s="3" t="s">
        <v>28</v>
      </c>
      <c r="O52" s="9"/>
      <c r="P52" s="3"/>
      <c r="Q52" s="10"/>
    </row>
    <row r="53" customFormat="false" ht="15" hidden="false" customHeight="false" outlineLevel="0" collapsed="false">
      <c r="A53" s="2" t="n">
        <v>52</v>
      </c>
      <c r="B53" s="3" t="s">
        <v>224</v>
      </c>
      <c r="C53" s="4" t="s">
        <v>18</v>
      </c>
      <c r="D53" s="5" t="s">
        <v>225</v>
      </c>
      <c r="E53" s="3" t="s">
        <v>226</v>
      </c>
      <c r="F53" s="3" t="s">
        <v>227</v>
      </c>
      <c r="G53" s="3" t="s">
        <v>40</v>
      </c>
      <c r="H53" s="6" t="n">
        <v>4.6</v>
      </c>
      <c r="I53" s="7"/>
      <c r="J53" s="7"/>
      <c r="K53" s="7"/>
      <c r="L53" s="8" t="n">
        <f aca="false">I53+J53+K53</f>
        <v>0</v>
      </c>
      <c r="M53" s="8" t="n">
        <f aca="false">RANK(L53,$L$2:$L$101,0)</f>
        <v>1</v>
      </c>
      <c r="N53" s="3" t="s">
        <v>28</v>
      </c>
      <c r="O53" s="9"/>
      <c r="P53" s="3"/>
      <c r="Q53" s="10"/>
    </row>
    <row r="54" customFormat="false" ht="15" hidden="false" customHeight="false" outlineLevel="0" collapsed="false">
      <c r="A54" s="2" t="n">
        <v>53</v>
      </c>
      <c r="B54" s="3" t="s">
        <v>228</v>
      </c>
      <c r="C54" s="4" t="s">
        <v>109</v>
      </c>
      <c r="D54" s="5" t="s">
        <v>229</v>
      </c>
      <c r="E54" s="3" t="s">
        <v>230</v>
      </c>
      <c r="F54" s="3" t="s">
        <v>231</v>
      </c>
      <c r="G54" s="3" t="s">
        <v>22</v>
      </c>
      <c r="H54" s="6" t="n">
        <v>4.3</v>
      </c>
      <c r="I54" s="7"/>
      <c r="J54" s="7"/>
      <c r="K54" s="7"/>
      <c r="L54" s="8" t="n">
        <f aca="false">I54+J54+K54</f>
        <v>0</v>
      </c>
      <c r="M54" s="8" t="n">
        <f aca="false">RANK(L54,$L$2:$L$101,0)</f>
        <v>1</v>
      </c>
      <c r="N54" s="3" t="s">
        <v>28</v>
      </c>
      <c r="O54" s="9"/>
      <c r="P54" s="3"/>
      <c r="Q54" s="10"/>
    </row>
    <row r="55" customFormat="false" ht="15" hidden="false" customHeight="false" outlineLevel="0" collapsed="false">
      <c r="A55" s="2" t="n">
        <v>54</v>
      </c>
      <c r="B55" s="3" t="s">
        <v>232</v>
      </c>
      <c r="C55" s="4" t="s">
        <v>18</v>
      </c>
      <c r="D55" s="5" t="s">
        <v>233</v>
      </c>
      <c r="E55" s="3" t="s">
        <v>234</v>
      </c>
      <c r="F55" s="3"/>
      <c r="G55" s="3" t="s">
        <v>22</v>
      </c>
      <c r="H55" s="6" t="n">
        <v>4.6</v>
      </c>
      <c r="I55" s="7"/>
      <c r="J55" s="7"/>
      <c r="K55" s="7"/>
      <c r="L55" s="8" t="n">
        <f aca="false">I55+J55+K55</f>
        <v>0</v>
      </c>
      <c r="M55" s="8" t="n">
        <f aca="false">RANK(L55,$L$2:$L$101,0)</f>
        <v>1</v>
      </c>
      <c r="N55" s="3" t="s">
        <v>28</v>
      </c>
      <c r="O55" s="9"/>
      <c r="P55" s="3"/>
      <c r="Q55" s="10"/>
    </row>
    <row r="56" customFormat="false" ht="15" hidden="false" customHeight="false" outlineLevel="0" collapsed="false">
      <c r="A56" s="2" t="n">
        <v>55</v>
      </c>
      <c r="B56" s="3" t="s">
        <v>235</v>
      </c>
      <c r="C56" s="4" t="s">
        <v>52</v>
      </c>
      <c r="D56" s="5" t="s">
        <v>236</v>
      </c>
      <c r="E56" s="3" t="s">
        <v>237</v>
      </c>
      <c r="F56" s="3"/>
      <c r="G56" s="3" t="s">
        <v>22</v>
      </c>
      <c r="H56" s="6" t="n">
        <v>5</v>
      </c>
      <c r="I56" s="7"/>
      <c r="J56" s="7"/>
      <c r="K56" s="7"/>
      <c r="L56" s="8" t="n">
        <f aca="false">I56+J56+K56</f>
        <v>0</v>
      </c>
      <c r="M56" s="8" t="n">
        <f aca="false">RANK(L56,$L$2:$L$101,0)</f>
        <v>1</v>
      </c>
      <c r="N56" s="3" t="s">
        <v>28</v>
      </c>
      <c r="O56" s="9"/>
      <c r="P56" s="3"/>
      <c r="Q56" s="10"/>
    </row>
    <row r="57" customFormat="false" ht="15" hidden="false" customHeight="false" outlineLevel="0" collapsed="false">
      <c r="A57" s="2" t="n">
        <v>56</v>
      </c>
      <c r="B57" s="3" t="s">
        <v>238</v>
      </c>
      <c r="C57" s="4" t="s">
        <v>36</v>
      </c>
      <c r="D57" s="5" t="s">
        <v>239</v>
      </c>
      <c r="E57" s="3" t="s">
        <v>240</v>
      </c>
      <c r="F57" s="3" t="s">
        <v>241</v>
      </c>
      <c r="G57" s="3" t="s">
        <v>40</v>
      </c>
      <c r="H57" s="6" t="n">
        <v>4.7</v>
      </c>
      <c r="I57" s="7"/>
      <c r="J57" s="7"/>
      <c r="K57" s="7"/>
      <c r="L57" s="8" t="n">
        <f aca="false">I57+J57+K57</f>
        <v>0</v>
      </c>
      <c r="M57" s="8" t="n">
        <f aca="false">RANK(L57,$L$2:$L$101,0)</f>
        <v>1</v>
      </c>
      <c r="N57" s="3" t="s">
        <v>28</v>
      </c>
      <c r="O57" s="9"/>
      <c r="P57" s="3"/>
      <c r="Q57" s="10"/>
    </row>
    <row r="58" customFormat="false" ht="15" hidden="false" customHeight="false" outlineLevel="0" collapsed="false">
      <c r="A58" s="2" t="n">
        <v>57</v>
      </c>
      <c r="B58" s="3" t="s">
        <v>242</v>
      </c>
      <c r="C58" s="4" t="s">
        <v>36</v>
      </c>
      <c r="D58" s="5" t="s">
        <v>243</v>
      </c>
      <c r="E58" s="3" t="s">
        <v>244</v>
      </c>
      <c r="F58" s="3" t="s">
        <v>245</v>
      </c>
      <c r="G58" s="3" t="s">
        <v>40</v>
      </c>
      <c r="H58" s="6" t="n">
        <v>4.7</v>
      </c>
      <c r="I58" s="7"/>
      <c r="J58" s="7"/>
      <c r="K58" s="7"/>
      <c r="L58" s="8" t="n">
        <f aca="false">I58+J58+K58</f>
        <v>0</v>
      </c>
      <c r="M58" s="8" t="n">
        <f aca="false">RANK(L58,$L$2:$L$101,0)</f>
        <v>1</v>
      </c>
      <c r="N58" s="3" t="s">
        <v>28</v>
      </c>
      <c r="O58" s="9"/>
      <c r="P58" s="3"/>
      <c r="Q58" s="10"/>
    </row>
    <row r="59" customFormat="false" ht="15" hidden="false" customHeight="false" outlineLevel="0" collapsed="false">
      <c r="A59" s="2" t="n">
        <v>58</v>
      </c>
      <c r="B59" s="3" t="s">
        <v>246</v>
      </c>
      <c r="C59" s="4" t="s">
        <v>91</v>
      </c>
      <c r="D59" s="5" t="s">
        <v>247</v>
      </c>
      <c r="E59" s="3" t="s">
        <v>248</v>
      </c>
      <c r="F59" s="3" t="s">
        <v>249</v>
      </c>
      <c r="G59" s="3" t="s">
        <v>40</v>
      </c>
      <c r="H59" s="6" t="n">
        <v>5</v>
      </c>
      <c r="I59" s="7"/>
      <c r="J59" s="7"/>
      <c r="K59" s="7"/>
      <c r="L59" s="8" t="n">
        <f aca="false">I59+J59+K59</f>
        <v>0</v>
      </c>
      <c r="M59" s="8" t="n">
        <f aca="false">RANK(L59,$L$2:$L$101,0)</f>
        <v>1</v>
      </c>
      <c r="N59" s="3" t="s">
        <v>28</v>
      </c>
      <c r="O59" s="9"/>
      <c r="P59" s="3"/>
      <c r="Q59" s="10"/>
    </row>
    <row r="60" customFormat="false" ht="15" hidden="false" customHeight="false" outlineLevel="0" collapsed="false">
      <c r="A60" s="2" t="n">
        <v>59</v>
      </c>
      <c r="B60" s="3" t="s">
        <v>250</v>
      </c>
      <c r="C60" s="4" t="s">
        <v>91</v>
      </c>
      <c r="D60" s="3"/>
      <c r="E60" s="3" t="s">
        <v>251</v>
      </c>
      <c r="F60" s="3"/>
      <c r="G60" s="3" t="s">
        <v>40</v>
      </c>
      <c r="H60" s="6" t="n">
        <v>5</v>
      </c>
      <c r="I60" s="7"/>
      <c r="J60" s="7"/>
      <c r="K60" s="7"/>
      <c r="L60" s="8" t="n">
        <f aca="false">I60+J60+K60</f>
        <v>0</v>
      </c>
      <c r="M60" s="8" t="n">
        <f aca="false">RANK(L60,$L$2:$L$101,0)</f>
        <v>1</v>
      </c>
      <c r="N60" s="3" t="s">
        <v>28</v>
      </c>
      <c r="O60" s="9"/>
      <c r="P60" s="3"/>
      <c r="Q60" s="10"/>
    </row>
    <row r="61" customFormat="false" ht="15" hidden="false" customHeight="false" outlineLevel="0" collapsed="false">
      <c r="A61" s="2" t="n">
        <v>60</v>
      </c>
      <c r="B61" s="3" t="s">
        <v>252</v>
      </c>
      <c r="C61" s="4" t="s">
        <v>109</v>
      </c>
      <c r="D61" s="5" t="s">
        <v>253</v>
      </c>
      <c r="E61" s="3" t="s">
        <v>254</v>
      </c>
      <c r="F61" s="3"/>
      <c r="G61" s="3" t="s">
        <v>22</v>
      </c>
      <c r="H61" s="6" t="n">
        <v>4.3</v>
      </c>
      <c r="I61" s="7"/>
      <c r="J61" s="7"/>
      <c r="K61" s="7"/>
      <c r="L61" s="8" t="n">
        <f aca="false">I61+J61+K61</f>
        <v>0</v>
      </c>
      <c r="M61" s="8" t="n">
        <f aca="false">RANK(L61,$L$2:$L$101,0)</f>
        <v>1</v>
      </c>
      <c r="N61" s="3" t="s">
        <v>28</v>
      </c>
      <c r="O61" s="9"/>
      <c r="P61" s="3"/>
      <c r="Q61" s="10"/>
    </row>
    <row r="62" customFormat="false" ht="15" hidden="false" customHeight="false" outlineLevel="0" collapsed="false">
      <c r="A62" s="2" t="n">
        <v>61</v>
      </c>
      <c r="B62" s="3" t="s">
        <v>255</v>
      </c>
      <c r="C62" s="4" t="s">
        <v>36</v>
      </c>
      <c r="D62" s="5" t="s">
        <v>256</v>
      </c>
      <c r="E62" s="3" t="s">
        <v>257</v>
      </c>
      <c r="F62" s="3" t="s">
        <v>245</v>
      </c>
      <c r="G62" s="3" t="s">
        <v>40</v>
      </c>
      <c r="H62" s="6" t="n">
        <v>4.7</v>
      </c>
      <c r="I62" s="7"/>
      <c r="J62" s="7"/>
      <c r="K62" s="7"/>
      <c r="L62" s="8" t="n">
        <f aca="false">I62+J62+K62</f>
        <v>0</v>
      </c>
      <c r="M62" s="8" t="n">
        <f aca="false">RANK(L62,$L$2:$L$101,0)</f>
        <v>1</v>
      </c>
      <c r="N62" s="3" t="s">
        <v>28</v>
      </c>
      <c r="O62" s="9"/>
      <c r="P62" s="3"/>
      <c r="Q62" s="10"/>
    </row>
    <row r="63" customFormat="false" ht="15" hidden="false" customHeight="false" outlineLevel="0" collapsed="false">
      <c r="A63" s="2" t="n">
        <v>62</v>
      </c>
      <c r="B63" s="3" t="s">
        <v>258</v>
      </c>
      <c r="C63" s="4" t="s">
        <v>109</v>
      </c>
      <c r="D63" s="3"/>
      <c r="E63" s="3" t="s">
        <v>259</v>
      </c>
      <c r="F63" s="3"/>
      <c r="G63" s="3" t="s">
        <v>22</v>
      </c>
      <c r="H63" s="6" t="n">
        <v>4.3</v>
      </c>
      <c r="I63" s="7"/>
      <c r="J63" s="7"/>
      <c r="K63" s="7"/>
      <c r="L63" s="8" t="n">
        <f aca="false">I63+J63+K63</f>
        <v>0</v>
      </c>
      <c r="M63" s="8" t="n">
        <f aca="false">RANK(L63,$L$2:$L$101,0)</f>
        <v>1</v>
      </c>
      <c r="N63" s="3" t="s">
        <v>28</v>
      </c>
      <c r="O63" s="9"/>
      <c r="P63" s="3"/>
      <c r="Q63" s="10"/>
    </row>
    <row r="64" customFormat="false" ht="15" hidden="false" customHeight="false" outlineLevel="0" collapsed="false">
      <c r="A64" s="2" t="n">
        <v>63</v>
      </c>
      <c r="B64" s="3" t="s">
        <v>260</v>
      </c>
      <c r="C64" s="4" t="s">
        <v>109</v>
      </c>
      <c r="D64" s="5" t="s">
        <v>261</v>
      </c>
      <c r="E64" s="3" t="s">
        <v>262</v>
      </c>
      <c r="F64" s="3" t="s">
        <v>263</v>
      </c>
      <c r="G64" s="3" t="s">
        <v>22</v>
      </c>
      <c r="H64" s="6" t="n">
        <v>4.3</v>
      </c>
      <c r="I64" s="7"/>
      <c r="J64" s="7"/>
      <c r="K64" s="7"/>
      <c r="L64" s="8" t="n">
        <f aca="false">I64+J64+K64</f>
        <v>0</v>
      </c>
      <c r="M64" s="8" t="n">
        <f aca="false">RANK(L64,$L$2:$L$101,0)</f>
        <v>1</v>
      </c>
      <c r="N64" s="3" t="s">
        <v>28</v>
      </c>
      <c r="O64" s="9"/>
      <c r="P64" s="3"/>
      <c r="Q64" s="10"/>
    </row>
    <row r="65" customFormat="false" ht="15" hidden="false" customHeight="false" outlineLevel="0" collapsed="false">
      <c r="A65" s="2" t="n">
        <v>64</v>
      </c>
      <c r="B65" s="3" t="s">
        <v>264</v>
      </c>
      <c r="C65" s="4" t="s">
        <v>36</v>
      </c>
      <c r="D65" s="5" t="s">
        <v>265</v>
      </c>
      <c r="E65" s="3" t="s">
        <v>266</v>
      </c>
      <c r="F65" s="3" t="s">
        <v>267</v>
      </c>
      <c r="G65" s="3" t="s">
        <v>40</v>
      </c>
      <c r="H65" s="6" t="n">
        <v>4.7</v>
      </c>
      <c r="I65" s="7"/>
      <c r="J65" s="7"/>
      <c r="K65" s="7"/>
      <c r="L65" s="8" t="n">
        <f aca="false">I65+J65+K65</f>
        <v>0</v>
      </c>
      <c r="M65" s="8" t="n">
        <f aca="false">RANK(L65,$L$2:$L$101,0)</f>
        <v>1</v>
      </c>
      <c r="N65" s="3" t="s">
        <v>28</v>
      </c>
      <c r="O65" s="9"/>
      <c r="P65" s="3"/>
      <c r="Q65" s="10"/>
    </row>
    <row r="66" customFormat="false" ht="15" hidden="false" customHeight="false" outlineLevel="0" collapsed="false">
      <c r="A66" s="2" t="n">
        <v>65</v>
      </c>
      <c r="B66" s="3" t="s">
        <v>268</v>
      </c>
      <c r="C66" s="4" t="s">
        <v>109</v>
      </c>
      <c r="D66" s="5" t="s">
        <v>269</v>
      </c>
      <c r="E66" s="3"/>
      <c r="F66" s="3"/>
      <c r="G66" s="3" t="s">
        <v>22</v>
      </c>
      <c r="H66" s="6" t="n">
        <v>4.3</v>
      </c>
      <c r="I66" s="7"/>
      <c r="J66" s="7"/>
      <c r="K66" s="7"/>
      <c r="L66" s="8" t="n">
        <f aca="false">I66+J66+K66</f>
        <v>0</v>
      </c>
      <c r="M66" s="8" t="n">
        <f aca="false">RANK(L66,$L$2:$L$101,0)</f>
        <v>1</v>
      </c>
      <c r="N66" s="3" t="s">
        <v>28</v>
      </c>
      <c r="O66" s="9"/>
      <c r="P66" s="3"/>
      <c r="Q66" s="10"/>
    </row>
    <row r="67" customFormat="false" ht="15" hidden="false" customHeight="false" outlineLevel="0" collapsed="false">
      <c r="A67" s="2" t="n">
        <v>66</v>
      </c>
      <c r="B67" s="3" t="s">
        <v>270</v>
      </c>
      <c r="C67" s="4" t="s">
        <v>36</v>
      </c>
      <c r="D67" s="5" t="s">
        <v>271</v>
      </c>
      <c r="E67" s="3" t="s">
        <v>272</v>
      </c>
      <c r="F67" s="3" t="s">
        <v>273</v>
      </c>
      <c r="G67" s="3" t="s">
        <v>40</v>
      </c>
      <c r="H67" s="6" t="n">
        <v>4.7</v>
      </c>
      <c r="I67" s="7"/>
      <c r="J67" s="7"/>
      <c r="K67" s="7"/>
      <c r="L67" s="8" t="n">
        <f aca="false">I67+J67+K67</f>
        <v>0</v>
      </c>
      <c r="M67" s="8" t="n">
        <f aca="false">RANK(L67,$L$2:$L$101,0)</f>
        <v>1</v>
      </c>
      <c r="N67" s="3" t="s">
        <v>28</v>
      </c>
      <c r="O67" s="9"/>
      <c r="P67" s="3"/>
      <c r="Q67" s="10"/>
    </row>
    <row r="68" customFormat="false" ht="15" hidden="false" customHeight="false" outlineLevel="0" collapsed="false">
      <c r="A68" s="2" t="n">
        <v>67</v>
      </c>
      <c r="B68" s="3" t="s">
        <v>274</v>
      </c>
      <c r="C68" s="4" t="s">
        <v>36</v>
      </c>
      <c r="D68" s="5" t="s">
        <v>275</v>
      </c>
      <c r="E68" s="3" t="s">
        <v>276</v>
      </c>
      <c r="F68" s="3" t="s">
        <v>277</v>
      </c>
      <c r="G68" s="3" t="s">
        <v>40</v>
      </c>
      <c r="H68" s="6" t="n">
        <v>4.7</v>
      </c>
      <c r="I68" s="7"/>
      <c r="J68" s="7"/>
      <c r="K68" s="7"/>
      <c r="L68" s="8" t="n">
        <f aca="false">I68+J68+K68</f>
        <v>0</v>
      </c>
      <c r="M68" s="8" t="n">
        <f aca="false">RANK(L68,$L$2:$L$101,0)</f>
        <v>1</v>
      </c>
      <c r="N68" s="3" t="s">
        <v>28</v>
      </c>
      <c r="O68" s="9"/>
      <c r="P68" s="3"/>
      <c r="Q68" s="10"/>
    </row>
    <row r="69" customFormat="false" ht="15" hidden="false" customHeight="false" outlineLevel="0" collapsed="false">
      <c r="A69" s="2" t="n">
        <v>68</v>
      </c>
      <c r="B69" s="3" t="s">
        <v>278</v>
      </c>
      <c r="C69" s="4" t="s">
        <v>109</v>
      </c>
      <c r="D69" s="5" t="s">
        <v>279</v>
      </c>
      <c r="E69" s="3" t="s">
        <v>280</v>
      </c>
      <c r="F69" s="3"/>
      <c r="G69" s="3" t="s">
        <v>22</v>
      </c>
      <c r="H69" s="6" t="n">
        <v>4.3</v>
      </c>
      <c r="I69" s="7"/>
      <c r="J69" s="7"/>
      <c r="K69" s="7"/>
      <c r="L69" s="8" t="n">
        <f aca="false">I69+J69+K69</f>
        <v>0</v>
      </c>
      <c r="M69" s="8" t="n">
        <f aca="false">RANK(L69,$L$2:$L$101,0)</f>
        <v>1</v>
      </c>
      <c r="N69" s="3" t="s">
        <v>28</v>
      </c>
      <c r="O69" s="9"/>
      <c r="P69" s="3"/>
      <c r="Q69" s="10"/>
    </row>
    <row r="70" customFormat="false" ht="15" hidden="false" customHeight="false" outlineLevel="0" collapsed="false">
      <c r="A70" s="2" t="n">
        <v>69</v>
      </c>
      <c r="B70" s="3" t="s">
        <v>281</v>
      </c>
      <c r="C70" s="4" t="s">
        <v>148</v>
      </c>
      <c r="D70" s="5" t="s">
        <v>282</v>
      </c>
      <c r="E70" s="3" t="s">
        <v>283</v>
      </c>
      <c r="F70" s="3" t="s">
        <v>284</v>
      </c>
      <c r="G70" s="3" t="s">
        <v>40</v>
      </c>
      <c r="H70" s="6" t="n">
        <v>4</v>
      </c>
      <c r="I70" s="7"/>
      <c r="J70" s="7"/>
      <c r="K70" s="7"/>
      <c r="L70" s="8" t="n">
        <f aca="false">I70+J70+K70</f>
        <v>0</v>
      </c>
      <c r="M70" s="8" t="n">
        <f aca="false">RANK(L70,$L$2:$L$101,0)</f>
        <v>1</v>
      </c>
      <c r="N70" s="3" t="s">
        <v>28</v>
      </c>
      <c r="O70" s="9"/>
      <c r="P70" s="3"/>
      <c r="Q70" s="10"/>
    </row>
    <row r="71" customFormat="false" ht="15" hidden="false" customHeight="false" outlineLevel="0" collapsed="false">
      <c r="A71" s="2" t="n">
        <v>70</v>
      </c>
      <c r="B71" s="3" t="s">
        <v>285</v>
      </c>
      <c r="C71" s="4" t="s">
        <v>109</v>
      </c>
      <c r="D71" s="5" t="s">
        <v>286</v>
      </c>
      <c r="E71" s="3" t="s">
        <v>287</v>
      </c>
      <c r="F71" s="3" t="s">
        <v>288</v>
      </c>
      <c r="G71" s="3" t="s">
        <v>22</v>
      </c>
      <c r="H71" s="6" t="n">
        <v>4.3</v>
      </c>
      <c r="I71" s="7"/>
      <c r="J71" s="7"/>
      <c r="K71" s="7"/>
      <c r="L71" s="8" t="n">
        <f aca="false">I71+J71+K71</f>
        <v>0</v>
      </c>
      <c r="M71" s="8" t="n">
        <f aca="false">RANK(L71,$L$2:$L$101,0)</f>
        <v>1</v>
      </c>
      <c r="N71" s="3" t="s">
        <v>28</v>
      </c>
      <c r="O71" s="9"/>
      <c r="P71" s="3"/>
      <c r="Q71" s="10"/>
    </row>
    <row r="72" customFormat="false" ht="15" hidden="false" customHeight="false" outlineLevel="0" collapsed="false">
      <c r="A72" s="2" t="n">
        <v>71</v>
      </c>
      <c r="B72" s="3" t="s">
        <v>289</v>
      </c>
      <c r="C72" s="4" t="s">
        <v>30</v>
      </c>
      <c r="D72" s="5" t="s">
        <v>290</v>
      </c>
      <c r="E72" s="3" t="s">
        <v>291</v>
      </c>
      <c r="F72" s="3" t="s">
        <v>292</v>
      </c>
      <c r="G72" s="3" t="s">
        <v>33</v>
      </c>
      <c r="H72" s="6" t="n">
        <v>5</v>
      </c>
      <c r="I72" s="7"/>
      <c r="J72" s="7"/>
      <c r="K72" s="7"/>
      <c r="L72" s="8" t="n">
        <f aca="false">I72+J72+K72</f>
        <v>0</v>
      </c>
      <c r="M72" s="8" t="n">
        <f aca="false">RANK(L72,$L$2:$L$101,0)</f>
        <v>1</v>
      </c>
      <c r="N72" s="3" t="s">
        <v>28</v>
      </c>
      <c r="O72" s="9"/>
      <c r="P72" s="3"/>
      <c r="Q72" s="10"/>
    </row>
    <row r="73" customFormat="false" ht="15" hidden="false" customHeight="false" outlineLevel="0" collapsed="false">
      <c r="A73" s="2" t="n">
        <v>72</v>
      </c>
      <c r="B73" s="3" t="s">
        <v>293</v>
      </c>
      <c r="C73" s="4" t="s">
        <v>36</v>
      </c>
      <c r="D73" s="5" t="s">
        <v>294</v>
      </c>
      <c r="E73" s="3" t="s">
        <v>295</v>
      </c>
      <c r="F73" s="3" t="s">
        <v>296</v>
      </c>
      <c r="G73" s="3" t="s">
        <v>40</v>
      </c>
      <c r="H73" s="6" t="n">
        <v>4.7</v>
      </c>
      <c r="I73" s="7"/>
      <c r="J73" s="7"/>
      <c r="K73" s="7"/>
      <c r="L73" s="8" t="n">
        <f aca="false">I73+J73+K73</f>
        <v>0</v>
      </c>
      <c r="M73" s="8" t="n">
        <f aca="false">RANK(L73,$L$2:$L$101,0)</f>
        <v>1</v>
      </c>
      <c r="N73" s="3" t="s">
        <v>28</v>
      </c>
      <c r="O73" s="9"/>
      <c r="P73" s="3"/>
      <c r="Q73" s="10"/>
    </row>
    <row r="74" customFormat="false" ht="46.25" hidden="false" customHeight="false" outlineLevel="0" collapsed="false">
      <c r="A74" s="2" t="n">
        <v>73</v>
      </c>
      <c r="B74" s="3" t="s">
        <v>297</v>
      </c>
      <c r="C74" s="4" t="s">
        <v>101</v>
      </c>
      <c r="D74" s="5" t="s">
        <v>298</v>
      </c>
      <c r="E74" s="3" t="s">
        <v>299</v>
      </c>
      <c r="F74" s="3"/>
      <c r="G74" s="3" t="s">
        <v>22</v>
      </c>
      <c r="H74" s="6" t="n">
        <v>4</v>
      </c>
      <c r="I74" s="7"/>
      <c r="J74" s="7"/>
      <c r="K74" s="7"/>
      <c r="L74" s="8" t="n">
        <f aca="false">I74+J74+K74</f>
        <v>0</v>
      </c>
      <c r="M74" s="8" t="n">
        <f aca="false">RANK(L74,$L$2:$L$101,0)</f>
        <v>1</v>
      </c>
      <c r="N74" s="3" t="s">
        <v>28</v>
      </c>
      <c r="O74" s="9" t="s">
        <v>300</v>
      </c>
      <c r="P74" s="3"/>
      <c r="Q74" s="10"/>
    </row>
    <row r="75" customFormat="false" ht="15" hidden="false" customHeight="false" outlineLevel="0" collapsed="false">
      <c r="A75" s="2" t="n">
        <v>74</v>
      </c>
      <c r="B75" s="3" t="s">
        <v>301</v>
      </c>
      <c r="C75" s="4" t="s">
        <v>148</v>
      </c>
      <c r="D75" s="5" t="s">
        <v>302</v>
      </c>
      <c r="E75" s="3" t="s">
        <v>303</v>
      </c>
      <c r="F75" s="3"/>
      <c r="G75" s="3" t="s">
        <v>152</v>
      </c>
      <c r="H75" s="6" t="n">
        <v>4.5</v>
      </c>
      <c r="I75" s="7"/>
      <c r="J75" s="7"/>
      <c r="K75" s="7"/>
      <c r="L75" s="8" t="n">
        <f aca="false">I75+J75+K75</f>
        <v>0</v>
      </c>
      <c r="M75" s="8" t="n">
        <f aca="false">RANK(L75,$L$2:$L$101,0)</f>
        <v>1</v>
      </c>
      <c r="N75" s="3" t="s">
        <v>28</v>
      </c>
      <c r="O75" s="9"/>
      <c r="P75" s="3"/>
      <c r="Q75" s="10"/>
    </row>
    <row r="76" customFormat="false" ht="15" hidden="false" customHeight="false" outlineLevel="0" collapsed="false">
      <c r="A76" s="2" t="n">
        <v>75</v>
      </c>
      <c r="B76" s="3" t="s">
        <v>304</v>
      </c>
      <c r="C76" s="4" t="s">
        <v>305</v>
      </c>
      <c r="D76" s="5" t="s">
        <v>306</v>
      </c>
      <c r="E76" s="3" t="s">
        <v>307</v>
      </c>
      <c r="F76" s="3"/>
      <c r="G76" s="3" t="s">
        <v>152</v>
      </c>
      <c r="H76" s="6" t="n">
        <v>4.9</v>
      </c>
      <c r="I76" s="7"/>
      <c r="J76" s="7"/>
      <c r="K76" s="7"/>
      <c r="L76" s="8" t="n">
        <f aca="false">I76+J76+K76</f>
        <v>0</v>
      </c>
      <c r="M76" s="8" t="n">
        <f aca="false">RANK(L76,$L$2:$L$101,0)</f>
        <v>1</v>
      </c>
      <c r="N76" s="3" t="s">
        <v>28</v>
      </c>
      <c r="O76" s="9"/>
      <c r="P76" s="3"/>
      <c r="Q76" s="10"/>
    </row>
    <row r="77" customFormat="false" ht="15" hidden="false" customHeight="false" outlineLevel="0" collapsed="false">
      <c r="A77" s="2" t="n">
        <v>76</v>
      </c>
      <c r="B77" s="3" t="s">
        <v>308</v>
      </c>
      <c r="C77" s="4" t="s">
        <v>305</v>
      </c>
      <c r="D77" s="5" t="s">
        <v>309</v>
      </c>
      <c r="E77" s="3" t="s">
        <v>310</v>
      </c>
      <c r="F77" s="3"/>
      <c r="G77" s="3" t="s">
        <v>152</v>
      </c>
      <c r="H77" s="6" t="n">
        <v>4.9</v>
      </c>
      <c r="I77" s="7"/>
      <c r="J77" s="7"/>
      <c r="K77" s="7"/>
      <c r="L77" s="8" t="n">
        <f aca="false">I77+J77+K77</f>
        <v>0</v>
      </c>
      <c r="M77" s="8" t="n">
        <f aca="false">RANK(L77,$L$2:$L$101,0)</f>
        <v>1</v>
      </c>
      <c r="N77" s="3" t="s">
        <v>28</v>
      </c>
      <c r="O77" s="9"/>
      <c r="P77" s="3"/>
      <c r="Q77" s="10"/>
    </row>
    <row r="78" customFormat="false" ht="15" hidden="false" customHeight="false" outlineLevel="0" collapsed="false">
      <c r="A78" s="2" t="n">
        <v>77</v>
      </c>
      <c r="B78" s="3" t="s">
        <v>311</v>
      </c>
      <c r="C78" s="4" t="s">
        <v>109</v>
      </c>
      <c r="D78" s="5" t="s">
        <v>312</v>
      </c>
      <c r="E78" s="3" t="s">
        <v>313</v>
      </c>
      <c r="F78" s="3" t="s">
        <v>314</v>
      </c>
      <c r="G78" s="3" t="s">
        <v>22</v>
      </c>
      <c r="H78" s="6" t="n">
        <v>4.3</v>
      </c>
      <c r="I78" s="7"/>
      <c r="J78" s="7"/>
      <c r="K78" s="7"/>
      <c r="L78" s="8" t="n">
        <f aca="false">I78+J78+K78</f>
        <v>0</v>
      </c>
      <c r="M78" s="8" t="n">
        <f aca="false">RANK(L78,$L$2:$L$101,0)</f>
        <v>1</v>
      </c>
      <c r="N78" s="3" t="s">
        <v>28</v>
      </c>
      <c r="O78" s="9"/>
      <c r="P78" s="3"/>
      <c r="Q78" s="10"/>
    </row>
    <row r="79" customFormat="false" ht="15" hidden="false" customHeight="false" outlineLevel="0" collapsed="false">
      <c r="A79" s="2" t="n">
        <v>78</v>
      </c>
      <c r="B79" s="3" t="s">
        <v>315</v>
      </c>
      <c r="C79" s="4" t="s">
        <v>18</v>
      </c>
      <c r="D79" s="5" t="s">
        <v>316</v>
      </c>
      <c r="E79" s="3" t="s">
        <v>317</v>
      </c>
      <c r="F79" s="3"/>
      <c r="G79" s="3" t="s">
        <v>40</v>
      </c>
      <c r="H79" s="6" t="n">
        <v>4.6</v>
      </c>
      <c r="I79" s="7"/>
      <c r="J79" s="7"/>
      <c r="K79" s="7"/>
      <c r="L79" s="8" t="n">
        <f aca="false">I79+J79+K79</f>
        <v>0</v>
      </c>
      <c r="M79" s="8" t="n">
        <f aca="false">RANK(L79,$L$2:$L$101,0)</f>
        <v>1</v>
      </c>
      <c r="N79" s="3" t="s">
        <v>28</v>
      </c>
      <c r="O79" s="9"/>
      <c r="P79" s="3"/>
      <c r="Q79" s="10"/>
    </row>
    <row r="80" customFormat="false" ht="57.45" hidden="false" customHeight="false" outlineLevel="0" collapsed="false">
      <c r="A80" s="2" t="n">
        <v>79</v>
      </c>
      <c r="B80" s="3" t="s">
        <v>318</v>
      </c>
      <c r="C80" s="4" t="s">
        <v>109</v>
      </c>
      <c r="D80" s="5" t="s">
        <v>319</v>
      </c>
      <c r="E80" s="3" t="s">
        <v>320</v>
      </c>
      <c r="F80" s="3" t="s">
        <v>321</v>
      </c>
      <c r="G80" s="3" t="s">
        <v>22</v>
      </c>
      <c r="H80" s="6" t="n">
        <v>4.3</v>
      </c>
      <c r="I80" s="7"/>
      <c r="J80" s="7"/>
      <c r="K80" s="7"/>
      <c r="L80" s="8" t="n">
        <f aca="false">I80+J80+K80</f>
        <v>0</v>
      </c>
      <c r="M80" s="8" t="n">
        <f aca="false">RANK(L80,$L$2:$L$101,0)</f>
        <v>1</v>
      </c>
      <c r="N80" s="3" t="s">
        <v>28</v>
      </c>
      <c r="O80" s="9" t="s">
        <v>322</v>
      </c>
      <c r="P80" s="3"/>
      <c r="Q80" s="10"/>
    </row>
    <row r="81" customFormat="false" ht="15" hidden="false" customHeight="false" outlineLevel="0" collapsed="false">
      <c r="A81" s="2" t="n">
        <v>80</v>
      </c>
      <c r="B81" s="3" t="s">
        <v>323</v>
      </c>
      <c r="C81" s="4" t="s">
        <v>109</v>
      </c>
      <c r="D81" s="5" t="s">
        <v>324</v>
      </c>
      <c r="E81" s="3" t="s">
        <v>325</v>
      </c>
      <c r="F81" s="3" t="s">
        <v>326</v>
      </c>
      <c r="G81" s="3" t="s">
        <v>22</v>
      </c>
      <c r="H81" s="6" t="n">
        <v>4.3</v>
      </c>
      <c r="I81" s="7"/>
      <c r="J81" s="7"/>
      <c r="K81" s="7"/>
      <c r="L81" s="8" t="n">
        <f aca="false">I81+J81+K81</f>
        <v>0</v>
      </c>
      <c r="M81" s="8" t="n">
        <f aca="false">RANK(L81,$L$2:$L$101,0)</f>
        <v>1</v>
      </c>
      <c r="N81" s="3" t="s">
        <v>28</v>
      </c>
      <c r="O81" s="9"/>
      <c r="P81" s="3"/>
      <c r="Q81" s="10"/>
    </row>
    <row r="82" customFormat="false" ht="15" hidden="false" customHeight="false" outlineLevel="0" collapsed="false">
      <c r="A82" s="2" t="n">
        <v>81</v>
      </c>
      <c r="B82" s="3" t="s">
        <v>327</v>
      </c>
      <c r="C82" s="4" t="s">
        <v>36</v>
      </c>
      <c r="D82" s="3"/>
      <c r="E82" s="3" t="s">
        <v>328</v>
      </c>
      <c r="F82" s="3"/>
      <c r="G82" s="3" t="s">
        <v>40</v>
      </c>
      <c r="H82" s="6" t="n">
        <v>4.7</v>
      </c>
      <c r="I82" s="7"/>
      <c r="J82" s="7"/>
      <c r="K82" s="7"/>
      <c r="L82" s="8" t="n">
        <f aca="false">I82+J82+K82</f>
        <v>0</v>
      </c>
      <c r="M82" s="8" t="n">
        <f aca="false">RANK(L82,$L$2:$L$101,0)</f>
        <v>1</v>
      </c>
      <c r="N82" s="3" t="s">
        <v>28</v>
      </c>
      <c r="O82" s="9"/>
      <c r="P82" s="3"/>
      <c r="Q82" s="10"/>
    </row>
    <row r="83" customFormat="false" ht="15" hidden="false" customHeight="false" outlineLevel="0" collapsed="false">
      <c r="A83" s="2" t="n">
        <v>82</v>
      </c>
      <c r="B83" s="3" t="s">
        <v>329</v>
      </c>
      <c r="C83" s="4" t="s">
        <v>36</v>
      </c>
      <c r="D83" s="5" t="s">
        <v>330</v>
      </c>
      <c r="E83" s="3" t="s">
        <v>331</v>
      </c>
      <c r="F83" s="3"/>
      <c r="G83" s="3" t="s">
        <v>40</v>
      </c>
      <c r="H83" s="6" t="n">
        <v>4.7</v>
      </c>
      <c r="I83" s="7"/>
      <c r="J83" s="7"/>
      <c r="K83" s="7"/>
      <c r="L83" s="8" t="n">
        <f aca="false">I83+J83+K83</f>
        <v>0</v>
      </c>
      <c r="M83" s="8" t="n">
        <f aca="false">RANK(L83,$L$2:$L$101,0)</f>
        <v>1</v>
      </c>
      <c r="N83" s="3" t="s">
        <v>28</v>
      </c>
      <c r="O83" s="9"/>
      <c r="P83" s="3"/>
      <c r="Q83" s="10"/>
    </row>
    <row r="84" customFormat="false" ht="15" hidden="false" customHeight="false" outlineLevel="0" collapsed="false">
      <c r="A84" s="2" t="n">
        <v>83</v>
      </c>
      <c r="B84" s="3" t="s">
        <v>332</v>
      </c>
      <c r="C84" s="4" t="s">
        <v>148</v>
      </c>
      <c r="D84" s="5" t="s">
        <v>333</v>
      </c>
      <c r="E84" s="3" t="s">
        <v>334</v>
      </c>
      <c r="F84" s="3" t="s">
        <v>335</v>
      </c>
      <c r="G84" s="3" t="s">
        <v>40</v>
      </c>
      <c r="H84" s="6" t="n">
        <v>3.2</v>
      </c>
      <c r="I84" s="7"/>
      <c r="J84" s="7"/>
      <c r="K84" s="7"/>
      <c r="L84" s="8" t="n">
        <f aca="false">I84+J84+K84</f>
        <v>0</v>
      </c>
      <c r="M84" s="8" t="n">
        <f aca="false">RANK(L84,$L$2:$L$101,0)</f>
        <v>1</v>
      </c>
      <c r="N84" s="3" t="s">
        <v>28</v>
      </c>
      <c r="O84" s="9"/>
      <c r="P84" s="3"/>
      <c r="Q84" s="10"/>
    </row>
    <row r="85" customFormat="false" ht="15" hidden="false" customHeight="false" outlineLevel="0" collapsed="false">
      <c r="A85" s="2" t="n">
        <v>84</v>
      </c>
      <c r="B85" s="3" t="s">
        <v>336</v>
      </c>
      <c r="C85" s="4" t="s">
        <v>18</v>
      </c>
      <c r="D85" s="5" t="s">
        <v>337</v>
      </c>
      <c r="E85" s="3" t="s">
        <v>338</v>
      </c>
      <c r="F85" s="3" t="s">
        <v>339</v>
      </c>
      <c r="G85" s="3" t="s">
        <v>40</v>
      </c>
      <c r="H85" s="6" t="n">
        <v>4.6</v>
      </c>
      <c r="I85" s="7"/>
      <c r="J85" s="7"/>
      <c r="K85" s="7"/>
      <c r="L85" s="8" t="n">
        <f aca="false">I85+J85+K85</f>
        <v>0</v>
      </c>
      <c r="M85" s="8" t="n">
        <f aca="false">RANK(L85,$L$2:$L$101,0)</f>
        <v>1</v>
      </c>
      <c r="N85" s="3" t="s">
        <v>28</v>
      </c>
      <c r="O85" s="9"/>
      <c r="P85" s="3"/>
      <c r="Q85" s="10"/>
    </row>
    <row r="86" customFormat="false" ht="15" hidden="false" customHeight="false" outlineLevel="0" collapsed="false">
      <c r="A86" s="2" t="n">
        <v>85</v>
      </c>
      <c r="B86" s="3" t="s">
        <v>340</v>
      </c>
      <c r="C86" s="4" t="s">
        <v>42</v>
      </c>
      <c r="D86" s="3"/>
      <c r="E86" s="3" t="s">
        <v>341</v>
      </c>
      <c r="F86" s="3"/>
      <c r="G86" s="3" t="s">
        <v>46</v>
      </c>
      <c r="H86" s="6" t="n">
        <v>4.9</v>
      </c>
      <c r="I86" s="7"/>
      <c r="J86" s="7"/>
      <c r="K86" s="7"/>
      <c r="L86" s="8" t="n">
        <f aca="false">I86+J86+K86</f>
        <v>0</v>
      </c>
      <c r="M86" s="8" t="n">
        <f aca="false">RANK(L86,$L$2:$L$101,0)</f>
        <v>1</v>
      </c>
      <c r="N86" s="3" t="s">
        <v>28</v>
      </c>
      <c r="O86" s="9"/>
      <c r="P86" s="3"/>
      <c r="Q86" s="10"/>
    </row>
    <row r="87" customFormat="false" ht="15" hidden="false" customHeight="false" outlineLevel="0" collapsed="false">
      <c r="A87" s="2" t="n">
        <v>86</v>
      </c>
      <c r="B87" s="3" t="s">
        <v>342</v>
      </c>
      <c r="C87" s="4" t="s">
        <v>305</v>
      </c>
      <c r="D87" s="5" t="s">
        <v>343</v>
      </c>
      <c r="E87" s="3" t="s">
        <v>344</v>
      </c>
      <c r="F87" s="3" t="s">
        <v>345</v>
      </c>
      <c r="G87" s="3" t="s">
        <v>152</v>
      </c>
      <c r="H87" s="6" t="n">
        <v>4.9</v>
      </c>
      <c r="I87" s="7"/>
      <c r="J87" s="7"/>
      <c r="K87" s="7"/>
      <c r="L87" s="8" t="n">
        <f aca="false">I87+J87+K87</f>
        <v>0</v>
      </c>
      <c r="M87" s="8" t="n">
        <f aca="false">RANK(L87,$L$2:$L$101,0)</f>
        <v>1</v>
      </c>
      <c r="N87" s="3" t="s">
        <v>28</v>
      </c>
      <c r="O87" s="9"/>
      <c r="P87" s="3"/>
      <c r="Q87" s="10"/>
    </row>
    <row r="88" customFormat="false" ht="15" hidden="false" customHeight="false" outlineLevel="0" collapsed="false">
      <c r="A88" s="2" t="n">
        <v>87</v>
      </c>
      <c r="B88" s="3" t="s">
        <v>346</v>
      </c>
      <c r="C88" s="4" t="s">
        <v>65</v>
      </c>
      <c r="D88" s="5" t="s">
        <v>347</v>
      </c>
      <c r="E88" s="3"/>
      <c r="F88" s="3"/>
      <c r="G88" s="3" t="s">
        <v>22</v>
      </c>
      <c r="H88" s="6" t="n">
        <v>5</v>
      </c>
      <c r="I88" s="7"/>
      <c r="J88" s="7"/>
      <c r="K88" s="7"/>
      <c r="L88" s="8" t="n">
        <f aca="false">I88+J88+K88</f>
        <v>0</v>
      </c>
      <c r="M88" s="8" t="n">
        <f aca="false">RANK(L88,$L$2:$L$101,0)</f>
        <v>1</v>
      </c>
      <c r="N88" s="3" t="s">
        <v>28</v>
      </c>
      <c r="O88" s="9"/>
      <c r="P88" s="3"/>
      <c r="Q88" s="10"/>
    </row>
    <row r="89" customFormat="false" ht="15" hidden="false" customHeight="false" outlineLevel="0" collapsed="false">
      <c r="A89" s="2" t="n">
        <v>88</v>
      </c>
      <c r="B89" s="3" t="s">
        <v>348</v>
      </c>
      <c r="C89" s="4" t="s">
        <v>36</v>
      </c>
      <c r="D89" s="5" t="s">
        <v>349</v>
      </c>
      <c r="E89" s="3" t="s">
        <v>350</v>
      </c>
      <c r="F89" s="3" t="s">
        <v>351</v>
      </c>
      <c r="G89" s="3" t="s">
        <v>40</v>
      </c>
      <c r="H89" s="6" t="n">
        <v>4.7</v>
      </c>
      <c r="I89" s="7"/>
      <c r="J89" s="7"/>
      <c r="K89" s="7"/>
      <c r="L89" s="8" t="n">
        <f aca="false">I89+J89+K89</f>
        <v>0</v>
      </c>
      <c r="M89" s="8" t="n">
        <f aca="false">RANK(L89,$L$2:$L$101,0)</f>
        <v>1</v>
      </c>
      <c r="N89" s="3" t="s">
        <v>28</v>
      </c>
      <c r="O89" s="9"/>
      <c r="P89" s="3"/>
      <c r="Q89" s="10"/>
    </row>
    <row r="90" customFormat="false" ht="15" hidden="false" customHeight="false" outlineLevel="0" collapsed="false">
      <c r="A90" s="2" t="n">
        <v>89</v>
      </c>
      <c r="B90" s="3" t="s">
        <v>352</v>
      </c>
      <c r="C90" s="4" t="s">
        <v>148</v>
      </c>
      <c r="D90" s="5" t="s">
        <v>353</v>
      </c>
      <c r="E90" s="3" t="s">
        <v>354</v>
      </c>
      <c r="F90" s="3" t="s">
        <v>355</v>
      </c>
      <c r="G90" s="3" t="s">
        <v>40</v>
      </c>
      <c r="H90" s="6" t="n">
        <v>3.2</v>
      </c>
      <c r="I90" s="7"/>
      <c r="J90" s="7"/>
      <c r="K90" s="7"/>
      <c r="L90" s="8" t="n">
        <f aca="false">I90+J90+K90</f>
        <v>0</v>
      </c>
      <c r="M90" s="8" t="n">
        <f aca="false">RANK(L90,$L$2:$L$101,0)</f>
        <v>1</v>
      </c>
      <c r="N90" s="3" t="s">
        <v>28</v>
      </c>
      <c r="O90" s="9"/>
      <c r="P90" s="3"/>
      <c r="Q90" s="10"/>
    </row>
    <row r="91" customFormat="false" ht="15" hidden="false" customHeight="false" outlineLevel="0" collapsed="false">
      <c r="A91" s="2" t="n">
        <v>90</v>
      </c>
      <c r="B91" s="3" t="s">
        <v>356</v>
      </c>
      <c r="C91" s="4" t="s">
        <v>52</v>
      </c>
      <c r="D91" s="5" t="s">
        <v>357</v>
      </c>
      <c r="E91" s="3" t="s">
        <v>358</v>
      </c>
      <c r="F91" s="3" t="s">
        <v>359</v>
      </c>
      <c r="G91" s="3" t="s">
        <v>40</v>
      </c>
      <c r="H91" s="6" t="n">
        <v>5</v>
      </c>
      <c r="I91" s="7"/>
      <c r="J91" s="7"/>
      <c r="K91" s="7"/>
      <c r="L91" s="8" t="n">
        <f aca="false">I91+J91+K91</f>
        <v>0</v>
      </c>
      <c r="M91" s="8" t="n">
        <f aca="false">RANK(L91,$L$2:$L$101,0)</f>
        <v>1</v>
      </c>
      <c r="N91" s="3" t="s">
        <v>28</v>
      </c>
      <c r="O91" s="9"/>
      <c r="P91" s="3"/>
      <c r="Q91" s="10"/>
    </row>
    <row r="92" customFormat="false" ht="15" hidden="false" customHeight="false" outlineLevel="0" collapsed="false">
      <c r="A92" s="2" t="n">
        <v>91</v>
      </c>
      <c r="B92" s="3" t="s">
        <v>360</v>
      </c>
      <c r="C92" s="4" t="s">
        <v>30</v>
      </c>
      <c r="D92" s="5" t="s">
        <v>361</v>
      </c>
      <c r="E92" s="3" t="s">
        <v>362</v>
      </c>
      <c r="F92" s="3" t="s">
        <v>363</v>
      </c>
      <c r="G92" s="3" t="s">
        <v>33</v>
      </c>
      <c r="H92" s="6" t="n">
        <v>5</v>
      </c>
      <c r="I92" s="7"/>
      <c r="J92" s="7"/>
      <c r="K92" s="7"/>
      <c r="L92" s="8" t="n">
        <f aca="false">I92+J92+K92</f>
        <v>0</v>
      </c>
      <c r="M92" s="8" t="n">
        <f aca="false">RANK(L92,$L$2:$L$101,0)</f>
        <v>1</v>
      </c>
      <c r="N92" s="3" t="s">
        <v>28</v>
      </c>
      <c r="O92" s="9"/>
      <c r="P92" s="3"/>
      <c r="Q92" s="10"/>
    </row>
    <row r="93" customFormat="false" ht="15" hidden="false" customHeight="false" outlineLevel="0" collapsed="false">
      <c r="A93" s="2" t="n">
        <v>92</v>
      </c>
      <c r="B93" s="3" t="s">
        <v>364</v>
      </c>
      <c r="C93" s="4" t="s">
        <v>52</v>
      </c>
      <c r="D93" s="5" t="s">
        <v>365</v>
      </c>
      <c r="E93" s="3" t="s">
        <v>366</v>
      </c>
      <c r="F93" s="3" t="s">
        <v>367</v>
      </c>
      <c r="G93" s="3" t="s">
        <v>22</v>
      </c>
      <c r="H93" s="6" t="n">
        <v>5</v>
      </c>
      <c r="I93" s="7"/>
      <c r="J93" s="7"/>
      <c r="K93" s="7"/>
      <c r="L93" s="8" t="n">
        <f aca="false">I93+J93+K93</f>
        <v>0</v>
      </c>
      <c r="M93" s="8" t="n">
        <f aca="false">RANK(L93,$L$2:$L$101,0)</f>
        <v>1</v>
      </c>
      <c r="N93" s="3" t="s">
        <v>28</v>
      </c>
      <c r="O93" s="9"/>
      <c r="P93" s="3"/>
      <c r="Q93" s="10"/>
    </row>
    <row r="94" customFormat="false" ht="15" hidden="false" customHeight="false" outlineLevel="0" collapsed="false">
      <c r="A94" s="2" t="n">
        <v>93</v>
      </c>
      <c r="B94" s="3" t="s">
        <v>368</v>
      </c>
      <c r="C94" s="4" t="s">
        <v>109</v>
      </c>
      <c r="D94" s="5" t="s">
        <v>369</v>
      </c>
      <c r="E94" s="3" t="s">
        <v>370</v>
      </c>
      <c r="F94" s="3" t="s">
        <v>371</v>
      </c>
      <c r="G94" s="3" t="s">
        <v>22</v>
      </c>
      <c r="H94" s="6" t="n">
        <v>4.3</v>
      </c>
      <c r="I94" s="7"/>
      <c r="J94" s="7"/>
      <c r="K94" s="7"/>
      <c r="L94" s="8" t="n">
        <f aca="false">I94+J94+K94</f>
        <v>0</v>
      </c>
      <c r="M94" s="8" t="n">
        <f aca="false">RANK(L94,$L$2:$L$101,0)</f>
        <v>1</v>
      </c>
      <c r="N94" s="3" t="s">
        <v>28</v>
      </c>
      <c r="O94" s="9"/>
      <c r="P94" s="3"/>
      <c r="Q94" s="10"/>
    </row>
    <row r="95" customFormat="false" ht="15" hidden="false" customHeight="false" outlineLevel="0" collapsed="false">
      <c r="A95" s="2" t="n">
        <v>94</v>
      </c>
      <c r="B95" s="3" t="s">
        <v>372</v>
      </c>
      <c r="C95" s="4" t="s">
        <v>18</v>
      </c>
      <c r="D95" s="5" t="s">
        <v>373</v>
      </c>
      <c r="E95" s="3" t="s">
        <v>374</v>
      </c>
      <c r="F95" s="3" t="s">
        <v>375</v>
      </c>
      <c r="G95" s="3" t="s">
        <v>22</v>
      </c>
      <c r="H95" s="6" t="n">
        <v>4.6</v>
      </c>
      <c r="I95" s="7"/>
      <c r="J95" s="7"/>
      <c r="K95" s="7"/>
      <c r="L95" s="8" t="n">
        <f aca="false">I95+J95+K95</f>
        <v>0</v>
      </c>
      <c r="M95" s="8" t="n">
        <f aca="false">RANK(L95,$L$2:$L$101,0)</f>
        <v>1</v>
      </c>
      <c r="N95" s="3" t="s">
        <v>28</v>
      </c>
      <c r="O95" s="9"/>
      <c r="P95" s="3"/>
      <c r="Q95" s="10"/>
    </row>
    <row r="96" customFormat="false" ht="15" hidden="false" customHeight="false" outlineLevel="0" collapsed="false">
      <c r="A96" s="2" t="n">
        <v>95</v>
      </c>
      <c r="B96" s="3" t="s">
        <v>376</v>
      </c>
      <c r="C96" s="4" t="s">
        <v>52</v>
      </c>
      <c r="D96" s="5" t="s">
        <v>377</v>
      </c>
      <c r="E96" s="3" t="s">
        <v>378</v>
      </c>
      <c r="F96" s="3" t="s">
        <v>379</v>
      </c>
      <c r="G96" s="3" t="s">
        <v>22</v>
      </c>
      <c r="H96" s="6" t="n">
        <v>5</v>
      </c>
      <c r="I96" s="7"/>
      <c r="J96" s="7"/>
      <c r="K96" s="7"/>
      <c r="L96" s="8" t="n">
        <f aca="false">I96+J96+K96</f>
        <v>0</v>
      </c>
      <c r="M96" s="8" t="n">
        <f aca="false">RANK(L96,$L$2:$L$101,0)</f>
        <v>1</v>
      </c>
      <c r="N96" s="3" t="s">
        <v>28</v>
      </c>
      <c r="O96" s="9"/>
      <c r="P96" s="3"/>
      <c r="Q96" s="10"/>
    </row>
    <row r="97" customFormat="false" ht="15" hidden="false" customHeight="false" outlineLevel="0" collapsed="false">
      <c r="A97" s="2" t="n">
        <v>96</v>
      </c>
      <c r="B97" s="3" t="s">
        <v>380</v>
      </c>
      <c r="C97" s="4" t="s">
        <v>36</v>
      </c>
      <c r="D97" s="5" t="s">
        <v>381</v>
      </c>
      <c r="E97" s="3" t="s">
        <v>382</v>
      </c>
      <c r="F97" s="3" t="s">
        <v>383</v>
      </c>
      <c r="G97" s="3" t="s">
        <v>40</v>
      </c>
      <c r="H97" s="6" t="n">
        <v>4.7</v>
      </c>
      <c r="I97" s="7"/>
      <c r="J97" s="7"/>
      <c r="K97" s="7"/>
      <c r="L97" s="8" t="n">
        <f aca="false">I97+J97+K97</f>
        <v>0</v>
      </c>
      <c r="M97" s="8" t="n">
        <f aca="false">RANK(L97,$L$2:$L$101,0)</f>
        <v>1</v>
      </c>
      <c r="N97" s="3" t="s">
        <v>28</v>
      </c>
      <c r="O97" s="9"/>
      <c r="P97" s="3"/>
      <c r="Q97" s="10"/>
    </row>
    <row r="98" customFormat="false" ht="15" hidden="false" customHeight="false" outlineLevel="0" collapsed="false">
      <c r="A98" s="2" t="n">
        <v>97</v>
      </c>
      <c r="B98" s="3" t="s">
        <v>384</v>
      </c>
      <c r="C98" s="4" t="s">
        <v>148</v>
      </c>
      <c r="D98" s="5" t="s">
        <v>385</v>
      </c>
      <c r="E98" s="3" t="s">
        <v>386</v>
      </c>
      <c r="F98" s="3" t="s">
        <v>387</v>
      </c>
      <c r="G98" s="3" t="s">
        <v>152</v>
      </c>
      <c r="H98" s="6" t="n">
        <v>4.5</v>
      </c>
      <c r="I98" s="7"/>
      <c r="J98" s="7"/>
      <c r="K98" s="7"/>
      <c r="L98" s="8" t="n">
        <f aca="false">I98+J98+K98</f>
        <v>0</v>
      </c>
      <c r="M98" s="8" t="n">
        <f aca="false">RANK(L98,$L$2:$L$101,0)</f>
        <v>1</v>
      </c>
      <c r="N98" s="3" t="s">
        <v>28</v>
      </c>
      <c r="O98" s="9"/>
      <c r="P98" s="3"/>
      <c r="Q98" s="10"/>
    </row>
    <row r="99" customFormat="false" ht="15" hidden="false" customHeight="false" outlineLevel="0" collapsed="false">
      <c r="A99" s="2" t="n">
        <v>98</v>
      </c>
      <c r="B99" s="3" t="s">
        <v>388</v>
      </c>
      <c r="C99" s="4" t="s">
        <v>148</v>
      </c>
      <c r="D99" s="5" t="s">
        <v>389</v>
      </c>
      <c r="E99" s="3" t="s">
        <v>390</v>
      </c>
      <c r="F99" s="3" t="s">
        <v>391</v>
      </c>
      <c r="G99" s="3" t="s">
        <v>152</v>
      </c>
      <c r="H99" s="6" t="n">
        <v>4.5</v>
      </c>
      <c r="I99" s="7"/>
      <c r="J99" s="7"/>
      <c r="K99" s="7"/>
      <c r="L99" s="8" t="n">
        <f aca="false">I99+J99+K99</f>
        <v>0</v>
      </c>
      <c r="M99" s="8" t="n">
        <f aca="false">RANK(L99,$L$2:$L$101,0)</f>
        <v>1</v>
      </c>
      <c r="N99" s="3" t="s">
        <v>28</v>
      </c>
      <c r="O99" s="9"/>
      <c r="P99" s="3"/>
      <c r="Q99" s="10"/>
    </row>
    <row r="100" customFormat="false" ht="15" hidden="false" customHeight="false" outlineLevel="0" collapsed="false">
      <c r="A100" s="2" t="n">
        <v>99</v>
      </c>
      <c r="B100" s="3" t="s">
        <v>392</v>
      </c>
      <c r="C100" s="4" t="s">
        <v>305</v>
      </c>
      <c r="D100" s="5" t="s">
        <v>393</v>
      </c>
      <c r="E100" s="3" t="s">
        <v>394</v>
      </c>
      <c r="F100" s="3" t="s">
        <v>395</v>
      </c>
      <c r="G100" s="3" t="s">
        <v>152</v>
      </c>
      <c r="H100" s="6" t="n">
        <v>4.9</v>
      </c>
      <c r="I100" s="7"/>
      <c r="J100" s="7"/>
      <c r="K100" s="7"/>
      <c r="L100" s="8" t="n">
        <f aca="false">I100+J100+K100</f>
        <v>0</v>
      </c>
      <c r="M100" s="8" t="n">
        <f aca="false">RANK(L100,$L$2:$L$101,0)</f>
        <v>1</v>
      </c>
      <c r="N100" s="3" t="s">
        <v>28</v>
      </c>
      <c r="O100" s="9"/>
      <c r="P100" s="3"/>
      <c r="Q100" s="10"/>
    </row>
    <row r="101" customFormat="false" ht="15" hidden="false" customHeight="false" outlineLevel="0" collapsed="false">
      <c r="A101" s="2" t="n">
        <v>100</v>
      </c>
      <c r="B101" s="3" t="s">
        <v>396</v>
      </c>
      <c r="C101" s="4" t="s">
        <v>305</v>
      </c>
      <c r="D101" s="5" t="s">
        <v>397</v>
      </c>
      <c r="E101" s="3" t="s">
        <v>398</v>
      </c>
      <c r="F101" s="3" t="s">
        <v>399</v>
      </c>
      <c r="G101" s="3" t="s">
        <v>152</v>
      </c>
      <c r="H101" s="6" t="n">
        <v>4.9</v>
      </c>
      <c r="I101" s="7"/>
      <c r="J101" s="7"/>
      <c r="K101" s="7"/>
      <c r="L101" s="8" t="n">
        <f aca="false">I101+J101+K101</f>
        <v>0</v>
      </c>
      <c r="M101" s="8" t="n">
        <f aca="false">RANK(L101,$L$2:$L$101,0)</f>
        <v>1</v>
      </c>
      <c r="N101" s="3" t="s">
        <v>28</v>
      </c>
      <c r="O101" s="9"/>
      <c r="P101" s="3"/>
      <c r="Q101" s="10"/>
    </row>
  </sheetData>
  <hyperlinks>
    <hyperlink ref="D2" r:id="rId1" display="https://precisionlandscaping.ca/"/>
    <hyperlink ref="D4" r:id="rId2" display="http://easyflowhvac.ca/"/>
    <hyperlink ref="D5" r:id="rId3" display="http://www.paitoronto.com/"/>
    <hyperlink ref="D6" r:id="rId4" display="https://tintexpress.ca/"/>
    <hyperlink ref="D7" r:id="rId5" display="http://www.torontotintstudio.com/"/>
    <hyperlink ref="D8" r:id="rId6" display="http://pickupplumbing.ca/"/>
    <hyperlink ref="D9" r:id="rId7" display="https://queensharbour.ca/"/>
    <hyperlink ref="D10" r:id="rId8" display="http://www.aeroseal.org/"/>
    <hyperlink ref="D11" r:id="rId9" display="https://riseclinic.ca/toronto/"/>
    <hyperlink ref="D12" r:id="rId10" display="https://thecrewlandscaping.ca/"/>
    <hyperlink ref="D13" r:id="rId11" display="https://abautotint.com/"/>
    <hyperlink ref="D14" r:id="rId12" display="http://www.setprotectivefilms.ca/"/>
    <hyperlink ref="D15" r:id="rId13" display="https://www.orumarestaurant.com/"/>
    <hyperlink ref="D16" r:id="rId14" display="https://joeyrestaurants.com/location/joey-king-street"/>
    <hyperlink ref="D17" r:id="rId15" display="http://www.auto-links.ca/"/>
    <hyperlink ref="D18" r:id="rId16" display="https://1997nailbar.com/downtown-booking"/>
    <hyperlink ref="D19" r:id="rId17" display="https://cityhomecomfort.ca/"/>
    <hyperlink ref="D21" r:id="rId18" display="http://www.dufferinmall.ca/"/>
    <hyperlink ref="D22" r:id="rId19" display="http://www.camh.ca/"/>
    <hyperlink ref="D23" r:id="rId20" display="http://www.primalmotion.com/"/>
    <hyperlink ref="D24" r:id="rId21" display="https://homelandmarket.ca/"/>
    <hyperlink ref="D25" r:id="rId22" display="http://richmondstation.ca/"/>
    <hyperlink ref="D26" r:id="rId23" display="http://www.brasaperuvian.com/"/>
    <hyperlink ref="D27" r:id="rId24" display="https://mrfencee.com/"/>
    <hyperlink ref="D28" r:id="rId25" display="https://shops.cadillacfairview.com/property/cf-fairview-mall"/>
    <hyperlink ref="D29" r:id="rId26" display="https://mindtorontopsychology.ca/"/>
    <hyperlink ref="D30" r:id="rId27" display="https://www.vieclinic.com/"/>
    <hyperlink ref="D31" r:id="rId28" display="http://www.dynamichealthclinic.ca/"/>
    <hyperlink ref="D32" r:id="rId29" display="http://www.lonzoskitchen.com/"/>
    <hyperlink ref="D33" r:id="rId30" display="https://golfdalemedical.ca/"/>
    <hyperlink ref="D34" r:id="rId31" display="https://www.psychoedclinic.com/"/>
    <hyperlink ref="D35" r:id="rId32" display="http://www.crescenttownclub.com/"/>
    <hyperlink ref="D36" r:id="rId33" display="http://northqualityhvac.ca/"/>
    <hyperlink ref="D37" r:id="rId34" display="https://www.premiumoutlets.com/outlet/toronto"/>
    <hyperlink ref="D38" r:id="rId35" display="http://frechettelawncare.com/"/>
    <hyperlink ref="D39" r:id="rId36" display="http://www.yorkdale.com/"/>
    <hyperlink ref="D40" r:id="rId37" display="https://www.lukeslandscaping.ca/?utm_source=gbp&amp;utm_medium=organic&amp;utm_campaign=scarborough&amp;utm_term=gbp-listing"/>
    <hyperlink ref="D41" r:id="rId38" display="https://ellesmerefamilyhealth.com/"/>
    <hyperlink ref="D42" r:id="rId39" display="https://the-bombay-restaurant.com/?"/>
    <hyperlink ref="D43" r:id="rId40" display="http://www.raym1993.com/"/>
    <hyperlink ref="D44" r:id="rId41" display="https://www.goodlifefitness.com/clubs/club.291.html?utm_source=G&amp;utm_medium=LPM&amp;utm_campaign=GoodlifeFitness"/>
    <hyperlink ref="D45" r:id="rId42" display="http://www.dspotdessert.com/"/>
    <hyperlink ref="D46" r:id="rId43" display="https://thompsonclinic.ca/"/>
    <hyperlink ref="D47" r:id="rId44" display="http://www.restaurantlucie.com/"/>
    <hyperlink ref="D48" r:id="rId45" display="http://www.restorativelandscapes.com/"/>
    <hyperlink ref="D49" r:id="rId46" display="http://gunittoronto.ca/"/>
    <hyperlink ref="D50" r:id="rId47" display="https://blueelephantcuisine.com/?utm_source=google&amp;utm_medium=maps&amp;utm_campaign=website"/>
    <hyperlink ref="D51" r:id="rId48" display="http://www.yuugiizakaya.com/"/>
    <hyperlink ref="D52" r:id="rId49" display="https://cityairtoronto.com/"/>
    <hyperlink ref="D53" r:id="rId50" display="http://www.greenhouselandscaping.ca/"/>
    <hyperlink ref="D54" r:id="rId51" display="https://www.equinox.com/clubs/toronto/bayst?cid=gmb"/>
    <hyperlink ref="D55" r:id="rId52" display="https://www.leuschners.com/"/>
    <hyperlink ref="D56" r:id="rId53" display="https://trinityplumbinganddrainingservices.com/"/>
    <hyperlink ref="D57" r:id="rId54" display="https://earls.ca/locations/financial--district/"/>
    <hyperlink ref="D58" r:id="rId55" display="http://www.canoerestaurant.com/"/>
    <hyperlink ref="D59" r:id="rId56" display="http://www.loftnailstudio.com/"/>
    <hyperlink ref="D61" r:id="rId57" display="https://www.planetfitness.ca/gyms/toronto-gerrard-square?utm_medium=organic&amp;utm_source=extnet"/>
    <hyperlink ref="D62" r:id="rId58" display="http://www.aubergedupommier.com/"/>
    <hyperlink ref="D64" r:id="rId59" display="https://www.unity-toronto.com/"/>
    <hyperlink ref="D65" r:id="rId60" display="https://lylatoronto.com/"/>
    <hyperlink ref="D66" r:id="rId61" display="http://eliteculture.ca/"/>
    <hyperlink ref="D67" r:id="rId62" display="http://osteriagiulia.ca/"/>
    <hyperlink ref="D68" r:id="rId63" display="http://seoulgamjatang.com/?utm_source=Google&amp;utm_medium=organic&amp;utm_campaign=GBP"/>
    <hyperlink ref="D69" r:id="rId64" display="https://www.lafitness.com/Pages/clubhome.aspx?clubid=663&amp;utm_source=google&amp;utm_medium=googlemaps&amp;utm_campaign=maps"/>
    <hyperlink ref="D70" r:id="rId65" display="http://thornhilltcm.com/?utm_source=googlemybusiness&amp;utm_medium=organic&amp;utm_campaign=Google%20My%20Business"/>
    <hyperlink ref="D71" r:id="rId66" display="http://vivefitness.com/1391-gerrard-st-toronto/"/>
    <hyperlink ref="D72" r:id="rId67" display="http://www.fivelionshvac.com/"/>
    <hyperlink ref="D73" r:id="rId68" display="http://www.georgeonqueen.com/"/>
    <hyperlink ref="D74" r:id="rId69" display="https://shops.cadillacfairview.com/property/cf-toronto-eaton-centre"/>
    <hyperlink ref="D75" r:id="rId70" display="http://mapleclinic.info/"/>
    <hyperlink ref="D76" r:id="rId71" display="https://www.dawsondental.ca/site/scarborough-dentist?utm_source=G&amp;utm_medium=LPM&amp;utm_campaign=DentalCorp"/>
    <hyperlink ref="D77" r:id="rId72" display="http://www.studiodentalcentres.ca/"/>
    <hyperlink ref="D78" r:id="rId73" display="https://fitfactoryfitness.com/pricing/downtown/"/>
    <hyperlink ref="D79" r:id="rId74" display="https://awtl.ca/"/>
    <hyperlink ref="D80" r:id="rId75" display="https://www.fit4less.ca/locations/provinces/ontario/scarborough/scarborough-golden-mile?utm_source=G&amp;utm_medium=lpm&amp;utm_campaign=fit4less"/>
    <hyperlink ref="D81" r:id="rId76" display="https://www.sweatandtonic.com/"/>
    <hyperlink ref="D83" r:id="rId77" display="http://gusto101.com/"/>
    <hyperlink ref="D84" r:id="rId78" display="http://www.greystonemedicalcentre.ca/"/>
    <hyperlink ref="D85" r:id="rId79" display="http://boxdesign.ca/"/>
    <hyperlink ref="D87" r:id="rId80" display="https://www.scarborosmiles.ca/?utm_source=google&amp;utm_medium=organic&amp;utm_campaign=gmb"/>
    <hyperlink ref="D88" r:id="rId81" display="http://debullshitization.com/"/>
    <hyperlink ref="D89" r:id="rId82" display="http://www.antlerkitchenbar.com/"/>
    <hyperlink ref="D90" r:id="rId83" display="https://www.scarboroughdoctorsclinic.ca/"/>
    <hyperlink ref="D91" r:id="rId84" display="http://grizzlyplumbingandheating.com/"/>
    <hyperlink ref="D92" r:id="rId85" display="http://accuservheating.com/"/>
    <hyperlink ref="D93" r:id="rId86" display="http://impactplumbing.ca/"/>
    <hyperlink ref="D94" r:id="rId87" display="https://dupontfitness.ca/"/>
    <hyperlink ref="D95" r:id="rId88" display="https://actionhomeservices.ca/"/>
    <hyperlink ref="D96" r:id="rId89" display="http://samplumbing.ca/"/>
    <hyperlink ref="D97" r:id="rId90" display="http://www.thebeechtree.ca/"/>
    <hyperlink ref="D98" r:id="rId91" display="https://www.ellesmeremedicalclinic.ca/"/>
    <hyperlink ref="D99" r:id="rId92" display="https://progresscentremedical.com/"/>
    <hyperlink ref="D100" r:id="rId93" display="http://scarboroughdental.ca/"/>
    <hyperlink ref="D101" r:id="rId94" display="https://scarboroughdentalgroup.com/?utm_source=google&amp;utm_medium=organic&amp;utm_campaign=gmb-lis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2026-03-30T19:28:25Z</dcterms:created>
  <dc:creator>openpyxl</dc:creator>
  <dc:description/>
  <dc:language>en-US</dc:language>
  <cp:lastModifiedBy/>
  <dcterms:modified xsi:type="dcterms:W3CDTF">2026-03-30T19:28:25Z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